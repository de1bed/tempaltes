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y Drive\Nomina\Internas ✔️\Reportes 2026\Catorcenas\"/>
    </mc:Choice>
  </mc:AlternateContent>
  <xr:revisionPtr revIDLastSave="0" documentId="13_ncr:1_{B262A9B0-B5F1-4D45-9523-1C4FAD79B7BC}" xr6:coauthVersionLast="47" xr6:coauthVersionMax="47" xr10:uidLastSave="{00000000-0000-0000-0000-000000000000}"/>
  <bookViews>
    <workbookView xWindow="-4005" yWindow="-16320" windowWidth="29040" windowHeight="15720" tabRatio="878" activeTab="6" xr2:uid="{00000000-000D-0000-FFFF-FFFF00000000}"/>
  </bookViews>
  <sheets>
    <sheet name="Asimilado " sheetId="19" r:id="rId1"/>
    <sheet name="Tablas" sheetId="20" r:id="rId2"/>
    <sheet name="Calculo" sheetId="1" r:id="rId3"/>
    <sheet name="Hoja1" sheetId="26" r:id="rId4"/>
    <sheet name="IMSS Calculo" sheetId="2" r:id="rId5"/>
    <sheet name="Simulacion" sheetId="3" r:id="rId6"/>
    <sheet name="Simulacion completa" sheetId="28" r:id="rId7"/>
    <sheet name="Simulacion Asimilado " sheetId="30" r:id="rId8"/>
    <sheet name="IMPUESTOS KOFILE" sheetId="29" r:id="rId9"/>
    <sheet name="Sheet5" sheetId="25" state="hidden" r:id="rId10"/>
    <sheet name="Sheet1" sheetId="21" state="hidden" r:id="rId11"/>
    <sheet name="Sheet2" sheetId="22" state="hidden" r:id="rId12"/>
    <sheet name="Sheet3" sheetId="23" state="hidden" r:id="rId13"/>
    <sheet name="33 Hilos " sheetId="24" state="hidden" r:id="rId14"/>
  </sheets>
  <definedNames>
    <definedName name="_xlnm.Print_Area" localSheetId="2">Calculo!$A$18:$K$239</definedName>
    <definedName name="_xlnm.Print_Area" localSheetId="4">'IMSS Calculo'!$A$61:$F$61</definedName>
    <definedName name="_xlnm.Print_Area" localSheetId="5">Simulacion!$B$2:$D$34</definedName>
  </definedNames>
  <calcPr calcId="191029"/>
</workbook>
</file>

<file path=xl/calcChain.xml><?xml version="1.0" encoding="utf-8"?>
<calcChain xmlns="http://schemas.openxmlformats.org/spreadsheetml/2006/main">
  <c r="AW46" i="28" l="1"/>
  <c r="AW48" i="28"/>
  <c r="AW43" i="28"/>
  <c r="AW39" i="28"/>
  <c r="BQ38" i="28"/>
  <c r="CA37" i="28"/>
  <c r="AR37" i="28"/>
  <c r="AR42" i="28"/>
  <c r="BV21" i="28" l="1"/>
  <c r="BW15" i="28"/>
  <c r="BW14" i="28"/>
  <c r="BW13" i="28"/>
  <c r="BW12" i="28"/>
  <c r="BW11" i="28"/>
  <c r="BW10" i="28"/>
  <c r="BQ21" i="28"/>
  <c r="BR15" i="28"/>
  <c r="BR10" i="28"/>
  <c r="BR8" i="28"/>
  <c r="BR6" i="28"/>
  <c r="E20" i="1"/>
  <c r="BV42" i="28"/>
  <c r="BV43" i="28" s="1"/>
  <c r="BQ42" i="28"/>
  <c r="BQ43" i="28" s="1"/>
  <c r="BV38" i="28"/>
  <c r="BV39" i="28" s="1"/>
  <c r="BQ39" i="28"/>
  <c r="BR14" i="28"/>
  <c r="BR13" i="28"/>
  <c r="BR12" i="28"/>
  <c r="BR11" i="28"/>
  <c r="BW9" i="28"/>
  <c r="BR9" i="28"/>
  <c r="BW8" i="28"/>
  <c r="BW6" i="28"/>
  <c r="D44" i="1"/>
  <c r="D8" i="3" s="1"/>
  <c r="D45" i="1"/>
  <c r="D47" i="1"/>
  <c r="D48" i="1" s="1"/>
  <c r="BV32" i="28" l="1"/>
  <c r="BW33" i="28" s="1"/>
  <c r="BW21" i="28" s="1"/>
  <c r="BV16" i="28"/>
  <c r="BW16" i="28"/>
  <c r="BQ32" i="28"/>
  <c r="BR33" i="28" s="1"/>
  <c r="BR21" i="28" s="1"/>
  <c r="BR16" i="28"/>
  <c r="BQ16" i="28"/>
  <c r="BB43" i="28"/>
  <c r="BB42" i="28"/>
  <c r="BB39" i="28"/>
  <c r="BB38" i="28"/>
  <c r="AW42" i="28"/>
  <c r="AW38" i="28"/>
  <c r="AM6" i="28"/>
  <c r="BW32" i="28" l="1"/>
  <c r="BV35" i="28"/>
  <c r="BV46" i="28" s="1"/>
  <c r="BV47" i="28" s="1"/>
  <c r="BV48" i="28" s="1"/>
  <c r="BV25" i="28"/>
  <c r="BQ35" i="28"/>
  <c r="BQ46" i="28" s="1"/>
  <c r="BQ25" i="28"/>
  <c r="BR32" i="28"/>
  <c r="E19" i="1"/>
  <c r="D51" i="1" s="1"/>
  <c r="I67" i="30"/>
  <c r="N67" i="30" s="1"/>
  <c r="S67" i="30" s="1"/>
  <c r="BV54" i="30"/>
  <c r="BV55" i="30" s="1"/>
  <c r="N54" i="30"/>
  <c r="I54" i="30"/>
  <c r="AW43" i="30"/>
  <c r="AB43" i="30"/>
  <c r="H43" i="30"/>
  <c r="AW42" i="30"/>
  <c r="AQ42" i="30"/>
  <c r="AQ43" i="30" s="1"/>
  <c r="AL42" i="30"/>
  <c r="AL43" i="30" s="1"/>
  <c r="AG42" i="30"/>
  <c r="AG43" i="30" s="1"/>
  <c r="AB42" i="30"/>
  <c r="W42" i="30"/>
  <c r="W43" i="30" s="1"/>
  <c r="R42" i="30"/>
  <c r="R43" i="30" s="1"/>
  <c r="M42" i="30"/>
  <c r="M43" i="30" s="1"/>
  <c r="H42" i="30"/>
  <c r="C42" i="30"/>
  <c r="C43" i="30" s="1"/>
  <c r="AW38" i="30"/>
  <c r="AW39" i="30" s="1"/>
  <c r="AB38" i="30"/>
  <c r="AB39" i="30" s="1"/>
  <c r="H38" i="30"/>
  <c r="H39" i="30" s="1"/>
  <c r="AQ37" i="30"/>
  <c r="AQ38" i="30" s="1"/>
  <c r="AQ39" i="30" s="1"/>
  <c r="AL37" i="30"/>
  <c r="AL38" i="30" s="1"/>
  <c r="AL39" i="30" s="1"/>
  <c r="AL53" i="30" s="1"/>
  <c r="AG37" i="30"/>
  <c r="AG38" i="30" s="1"/>
  <c r="AG39" i="30" s="1"/>
  <c r="AB37" i="30"/>
  <c r="W37" i="30"/>
  <c r="W38" i="30" s="1"/>
  <c r="W39" i="30" s="1"/>
  <c r="R37" i="30"/>
  <c r="R38" i="30" s="1"/>
  <c r="R39" i="30" s="1"/>
  <c r="M37" i="30"/>
  <c r="M38" i="30" s="1"/>
  <c r="M39" i="30" s="1"/>
  <c r="H37" i="30"/>
  <c r="C37" i="30"/>
  <c r="C38" i="30" s="1"/>
  <c r="C39" i="30" s="1"/>
  <c r="AQ32" i="30"/>
  <c r="AR33" i="30" s="1"/>
  <c r="AL32" i="30"/>
  <c r="AM33" i="30" s="1"/>
  <c r="AG32" i="30"/>
  <c r="AH33" i="30" s="1"/>
  <c r="AB32" i="30"/>
  <c r="W32" i="30"/>
  <c r="R32" i="30"/>
  <c r="S33" i="30" s="1"/>
  <c r="M32" i="30"/>
  <c r="M81" i="30" s="1"/>
  <c r="H32" i="30"/>
  <c r="C32" i="30"/>
  <c r="D33" i="30" s="1"/>
  <c r="AW32" i="30"/>
  <c r="AQ21" i="30"/>
  <c r="AL21" i="30"/>
  <c r="AM21" i="30" s="1"/>
  <c r="AG21" i="30"/>
  <c r="AB21" i="30"/>
  <c r="W21" i="30"/>
  <c r="R21" i="30"/>
  <c r="S21" i="30" s="1"/>
  <c r="M21" i="30"/>
  <c r="H21" i="30"/>
  <c r="C21" i="30"/>
  <c r="AQ16" i="30"/>
  <c r="AQ35" i="30" s="1"/>
  <c r="AL16" i="30"/>
  <c r="AL35" i="30" s="1"/>
  <c r="AG16" i="30"/>
  <c r="AG25" i="30" s="1"/>
  <c r="BF10" i="30" s="1"/>
  <c r="AB16" i="30"/>
  <c r="AB35" i="30" s="1"/>
  <c r="W16" i="30"/>
  <c r="W35" i="30" s="1"/>
  <c r="R16" i="30"/>
  <c r="R80" i="30" s="1"/>
  <c r="M16" i="30"/>
  <c r="M35" i="30" s="1"/>
  <c r="H16" i="30"/>
  <c r="H80" i="30" s="1"/>
  <c r="C16" i="30"/>
  <c r="C80" i="30" s="1"/>
  <c r="AR15" i="30"/>
  <c r="AM15" i="30"/>
  <c r="AH15" i="30"/>
  <c r="AC15" i="30"/>
  <c r="X15" i="30"/>
  <c r="S15" i="30"/>
  <c r="N15" i="30"/>
  <c r="I15" i="30"/>
  <c r="D15" i="30"/>
  <c r="AR14" i="30"/>
  <c r="AM14" i="30"/>
  <c r="AH14" i="30"/>
  <c r="AC14" i="30"/>
  <c r="X14" i="30"/>
  <c r="S14" i="30"/>
  <c r="N14" i="30"/>
  <c r="I14" i="30"/>
  <c r="D14" i="30"/>
  <c r="AR13" i="30"/>
  <c r="AM13" i="30"/>
  <c r="AH13" i="30"/>
  <c r="AC13" i="30"/>
  <c r="X13" i="30"/>
  <c r="S13" i="30"/>
  <c r="N13" i="30"/>
  <c r="I13" i="30"/>
  <c r="D13" i="30"/>
  <c r="AR12" i="30"/>
  <c r="AM12" i="30"/>
  <c r="AH12" i="30"/>
  <c r="AC12" i="30"/>
  <c r="X12" i="30"/>
  <c r="S12" i="30"/>
  <c r="N12" i="30"/>
  <c r="I12" i="30"/>
  <c r="D12" i="30"/>
  <c r="AZ11" i="30"/>
  <c r="AR11" i="30"/>
  <c r="AM11" i="30"/>
  <c r="AH11" i="30"/>
  <c r="AC11" i="30"/>
  <c r="X11" i="30"/>
  <c r="S11" i="30"/>
  <c r="N11" i="30"/>
  <c r="I11" i="30"/>
  <c r="D11" i="30"/>
  <c r="AZ10" i="30"/>
  <c r="AR10" i="30"/>
  <c r="AM10" i="30"/>
  <c r="AH10" i="30"/>
  <c r="AC10" i="30"/>
  <c r="X10" i="30"/>
  <c r="S10" i="30"/>
  <c r="N10" i="30"/>
  <c r="I10" i="30"/>
  <c r="D10" i="30"/>
  <c r="AZ9" i="30"/>
  <c r="AR9" i="30"/>
  <c r="AM9" i="30"/>
  <c r="AH9" i="30"/>
  <c r="AC9" i="30"/>
  <c r="X9" i="30"/>
  <c r="S9" i="30"/>
  <c r="N9" i="30"/>
  <c r="I9" i="30"/>
  <c r="D9" i="30"/>
  <c r="AZ8" i="30"/>
  <c r="AR8" i="30"/>
  <c r="AM8" i="30"/>
  <c r="AH8" i="30"/>
  <c r="AC8" i="30"/>
  <c r="X8" i="30"/>
  <c r="S8" i="30"/>
  <c r="N8" i="30"/>
  <c r="I8" i="30"/>
  <c r="D8" i="30"/>
  <c r="AZ7" i="30"/>
  <c r="AZ6" i="30"/>
  <c r="AR6" i="30"/>
  <c r="AR16" i="30" s="1"/>
  <c r="AM6" i="30"/>
  <c r="AM16" i="30" s="1"/>
  <c r="AH6" i="30"/>
  <c r="AH16" i="30" s="1"/>
  <c r="AC6" i="30"/>
  <c r="AC16" i="30" s="1"/>
  <c r="X6" i="30"/>
  <c r="X16" i="30" s="1"/>
  <c r="S6" i="30"/>
  <c r="S16" i="30" s="1"/>
  <c r="N6" i="30"/>
  <c r="N16" i="30" s="1"/>
  <c r="I6" i="30"/>
  <c r="I16" i="30" s="1"/>
  <c r="D6" i="30"/>
  <c r="D16" i="30" s="1"/>
  <c r="AZ5" i="30"/>
  <c r="AZ4" i="30"/>
  <c r="I85" i="29"/>
  <c r="G85" i="29"/>
  <c r="B77" i="29"/>
  <c r="J85" i="29" s="1"/>
  <c r="C56" i="29"/>
  <c r="D56" i="29" s="1"/>
  <c r="D59" i="29" s="1"/>
  <c r="N51" i="29"/>
  <c r="N50" i="29"/>
  <c r="N49" i="29"/>
  <c r="N48" i="29"/>
  <c r="N47" i="29"/>
  <c r="N46" i="29"/>
  <c r="N45" i="29"/>
  <c r="D45" i="29"/>
  <c r="N44" i="29"/>
  <c r="N43" i="29"/>
  <c r="D43" i="29"/>
  <c r="N42" i="29"/>
  <c r="D42" i="29"/>
  <c r="D44" i="29" s="1"/>
  <c r="D46" i="29" s="1"/>
  <c r="D48" i="29" s="1"/>
  <c r="D41" i="29"/>
  <c r="D33" i="29"/>
  <c r="D8" i="29"/>
  <c r="D7" i="29"/>
  <c r="D9" i="29" s="1"/>
  <c r="D11" i="29" s="1"/>
  <c r="D6" i="29"/>
  <c r="D5" i="29"/>
  <c r="D4" i="29"/>
  <c r="BQ47" i="28" l="1"/>
  <c r="BQ48" i="28" s="1"/>
  <c r="D21" i="30"/>
  <c r="AR21" i="30"/>
  <c r="M53" i="30"/>
  <c r="AB53" i="30"/>
  <c r="R53" i="30"/>
  <c r="BA11" i="30"/>
  <c r="BB11" i="30" s="1"/>
  <c r="BC11" i="30" s="1"/>
  <c r="BD11" i="30" s="1"/>
  <c r="AL55" i="30"/>
  <c r="AL54" i="30"/>
  <c r="AH21" i="30"/>
  <c r="H81" i="30"/>
  <c r="W53" i="30"/>
  <c r="AQ53" i="30"/>
  <c r="M25" i="30"/>
  <c r="BF6" i="30" s="1"/>
  <c r="X33" i="30"/>
  <c r="X21" i="30" s="1"/>
  <c r="AG35" i="30"/>
  <c r="AG53" i="30" s="1"/>
  <c r="M80" i="30"/>
  <c r="R87" i="30" s="1"/>
  <c r="R25" i="30"/>
  <c r="BF7" i="30" s="1"/>
  <c r="AL25" i="30"/>
  <c r="BF11" i="30" s="1"/>
  <c r="D32" i="30"/>
  <c r="N32" i="30"/>
  <c r="AH32" i="30"/>
  <c r="AR32" i="30"/>
  <c r="I33" i="30"/>
  <c r="I21" i="30" s="1"/>
  <c r="AC33" i="30"/>
  <c r="AC32" i="30" s="1"/>
  <c r="R35" i="30"/>
  <c r="AR37" i="30"/>
  <c r="AR39" i="30" s="1"/>
  <c r="R81" i="30"/>
  <c r="C25" i="30"/>
  <c r="BF4" i="30" s="1"/>
  <c r="W25" i="30"/>
  <c r="BF8" i="30" s="1"/>
  <c r="AQ25" i="30"/>
  <c r="N33" i="30"/>
  <c r="N21" i="30" s="1"/>
  <c r="C35" i="30"/>
  <c r="C53" i="30" s="1"/>
  <c r="BV37" i="30"/>
  <c r="BV39" i="30" s="1"/>
  <c r="C81" i="30"/>
  <c r="H25" i="30"/>
  <c r="BF5" i="30" s="1"/>
  <c r="AB25" i="30"/>
  <c r="BF9" i="30" s="1"/>
  <c r="S32" i="30"/>
  <c r="AM32" i="30"/>
  <c r="H35" i="30"/>
  <c r="H53" i="30" s="1"/>
  <c r="D62" i="29"/>
  <c r="D61" i="29"/>
  <c r="D63" i="29" s="1"/>
  <c r="D64" i="29"/>
  <c r="D60" i="29"/>
  <c r="D13" i="29"/>
  <c r="D15" i="29" s="1"/>
  <c r="G86" i="29"/>
  <c r="G87" i="29" s="1"/>
  <c r="I86" i="29"/>
  <c r="I87" i="29" s="1"/>
  <c r="D50" i="29"/>
  <c r="D52" i="29" s="1"/>
  <c r="C73" i="29"/>
  <c r="C55" i="30" l="1"/>
  <c r="C54" i="30"/>
  <c r="C82" i="30" s="1"/>
  <c r="BA4" i="30"/>
  <c r="BB4" i="30" s="1"/>
  <c r="BC4" i="30" s="1"/>
  <c r="BA5" i="30"/>
  <c r="BB5" i="30" s="1"/>
  <c r="BC5" i="30" s="1"/>
  <c r="BD5" i="30" s="1"/>
  <c r="H55" i="30"/>
  <c r="H54" i="30"/>
  <c r="H82" i="30" s="1"/>
  <c r="BA10" i="30"/>
  <c r="BB10" i="30" s="1"/>
  <c r="BC10" i="30" s="1"/>
  <c r="BD10" i="30" s="1"/>
  <c r="AG54" i="30"/>
  <c r="AG55" i="30" s="1"/>
  <c r="H83" i="30"/>
  <c r="AQ54" i="30"/>
  <c r="AQ55" i="30"/>
  <c r="W54" i="30"/>
  <c r="W55" i="30" s="1"/>
  <c r="BA8" i="30"/>
  <c r="BB8" i="30" s="1"/>
  <c r="BC8" i="30" s="1"/>
  <c r="BD8" i="30" s="1"/>
  <c r="X32" i="30"/>
  <c r="AB55" i="30"/>
  <c r="BA9" i="30"/>
  <c r="BB9" i="30" s="1"/>
  <c r="BC9" i="30" s="1"/>
  <c r="BD9" i="30" s="1"/>
  <c r="AB54" i="30"/>
  <c r="R88" i="30"/>
  <c r="AC21" i="30"/>
  <c r="BA7" i="30"/>
  <c r="BB7" i="30" s="1"/>
  <c r="BC7" i="30" s="1"/>
  <c r="BD7" i="30" s="1"/>
  <c r="R54" i="30"/>
  <c r="R82" i="30" s="1"/>
  <c r="R83" i="30" s="1"/>
  <c r="I32" i="30"/>
  <c r="BA6" i="30"/>
  <c r="BB6" i="30" s="1"/>
  <c r="BC6" i="30" s="1"/>
  <c r="BD6" i="30" s="1"/>
  <c r="M54" i="30"/>
  <c r="M82" i="30" s="1"/>
  <c r="M83" i="30" s="1"/>
  <c r="D65" i="29"/>
  <c r="D67" i="29" s="1"/>
  <c r="H84" i="30" l="1"/>
  <c r="H67" i="30"/>
  <c r="BD4" i="30"/>
  <c r="R55" i="30"/>
  <c r="R89" i="30"/>
  <c r="C83" i="30"/>
  <c r="R91" i="30" s="1"/>
  <c r="R93" i="30" s="1"/>
  <c r="M55" i="30"/>
  <c r="R90" i="30"/>
  <c r="C67" i="30"/>
  <c r="C84" i="30"/>
  <c r="B73" i="29"/>
  <c r="D73" i="29" s="1"/>
  <c r="C77" i="29" s="1"/>
  <c r="D69" i="29"/>
  <c r="S89" i="30" l="1"/>
  <c r="M67" i="30"/>
  <c r="M84" i="30"/>
  <c r="S90" i="30"/>
  <c r="S87" i="30"/>
  <c r="S88" i="30"/>
  <c r="R67" i="30"/>
  <c r="R84" i="30"/>
  <c r="J86" i="29"/>
  <c r="J87" i="29" s="1"/>
  <c r="D77" i="29"/>
  <c r="F77" i="29" s="1"/>
  <c r="I67" i="28" l="1"/>
  <c r="N67" i="28" s="1"/>
  <c r="S67" i="28" s="1"/>
  <c r="CA54" i="28"/>
  <c r="CA55" i="28" s="1"/>
  <c r="I54" i="28"/>
  <c r="N54" i="28" s="1"/>
  <c r="AQ42" i="28"/>
  <c r="AQ43" i="28" s="1"/>
  <c r="AL42" i="28"/>
  <c r="AL43" i="28" s="1"/>
  <c r="AG42" i="28"/>
  <c r="AG43" i="28" s="1"/>
  <c r="AB42" i="28"/>
  <c r="AB43" i="28" s="1"/>
  <c r="W42" i="28"/>
  <c r="W43" i="28" s="1"/>
  <c r="R42" i="28"/>
  <c r="R43" i="28" s="1"/>
  <c r="M42" i="28"/>
  <c r="M43" i="28" s="1"/>
  <c r="H42" i="28"/>
  <c r="H43" i="28" s="1"/>
  <c r="C42" i="28"/>
  <c r="C43" i="28" s="1"/>
  <c r="AQ37" i="28"/>
  <c r="AL37" i="28"/>
  <c r="AL38" i="28" s="1"/>
  <c r="AL39" i="28" s="1"/>
  <c r="AG37" i="28"/>
  <c r="AG38" i="28" s="1"/>
  <c r="AG39" i="28" s="1"/>
  <c r="AB37" i="28"/>
  <c r="AB38" i="28" s="1"/>
  <c r="AB39" i="28" s="1"/>
  <c r="W37" i="28"/>
  <c r="W38" i="28" s="1"/>
  <c r="W39" i="28" s="1"/>
  <c r="R37" i="28"/>
  <c r="R38" i="28" s="1"/>
  <c r="R39" i="28" s="1"/>
  <c r="M37" i="28"/>
  <c r="M38" i="28" s="1"/>
  <c r="M39" i="28" s="1"/>
  <c r="H37" i="28"/>
  <c r="H38" i="28" s="1"/>
  <c r="H39" i="28" s="1"/>
  <c r="C37" i="28"/>
  <c r="C38" i="28" s="1"/>
  <c r="C39" i="28" s="1"/>
  <c r="AQ32" i="28"/>
  <c r="AL32" i="28"/>
  <c r="AG32" i="28"/>
  <c r="AB32" i="28"/>
  <c r="W32" i="28"/>
  <c r="R32" i="28"/>
  <c r="M32" i="28"/>
  <c r="H32" i="28"/>
  <c r="C32" i="28"/>
  <c r="AQ21" i="28"/>
  <c r="AL21" i="28"/>
  <c r="AG21" i="28"/>
  <c r="AB21" i="28"/>
  <c r="W21" i="28"/>
  <c r="R21" i="28"/>
  <c r="M21" i="28"/>
  <c r="H21" i="28"/>
  <c r="C21" i="28"/>
  <c r="AQ16" i="28"/>
  <c r="AL16" i="28"/>
  <c r="AG16" i="28"/>
  <c r="AB16" i="28"/>
  <c r="W16" i="28"/>
  <c r="R16" i="28"/>
  <c r="R80" i="28" s="1"/>
  <c r="M16" i="28"/>
  <c r="M25" i="28" s="1"/>
  <c r="BK6" i="28" s="1"/>
  <c r="H16" i="28"/>
  <c r="H80" i="28" s="1"/>
  <c r="C16" i="28"/>
  <c r="AR15" i="28"/>
  <c r="AM15" i="28"/>
  <c r="AH15" i="28"/>
  <c r="AC15" i="28"/>
  <c r="X15" i="28"/>
  <c r="S15" i="28"/>
  <c r="N15" i="28"/>
  <c r="I15" i="28"/>
  <c r="D15" i="28"/>
  <c r="AR14" i="28"/>
  <c r="AM14" i="28"/>
  <c r="AH14" i="28"/>
  <c r="AC14" i="28"/>
  <c r="X14" i="28"/>
  <c r="S14" i="28"/>
  <c r="N14" i="28"/>
  <c r="I14" i="28"/>
  <c r="D14" i="28"/>
  <c r="AR13" i="28"/>
  <c r="AM13" i="28"/>
  <c r="AH13" i="28"/>
  <c r="AC13" i="28"/>
  <c r="X13" i="28"/>
  <c r="S13" i="28"/>
  <c r="N13" i="28"/>
  <c r="I13" i="28"/>
  <c r="D13" i="28"/>
  <c r="AR12" i="28"/>
  <c r="AM12" i="28"/>
  <c r="AH12" i="28"/>
  <c r="AC12" i="28"/>
  <c r="X12" i="28"/>
  <c r="S12" i="28"/>
  <c r="N12" i="28"/>
  <c r="I12" i="28"/>
  <c r="D12" i="28"/>
  <c r="BE11" i="28"/>
  <c r="AR11" i="28"/>
  <c r="AM11" i="28"/>
  <c r="AH11" i="28"/>
  <c r="AC11" i="28"/>
  <c r="X11" i="28"/>
  <c r="S11" i="28"/>
  <c r="N11" i="28"/>
  <c r="I11" i="28"/>
  <c r="D11" i="28"/>
  <c r="BE10" i="28"/>
  <c r="AR10" i="28"/>
  <c r="AM10" i="28"/>
  <c r="AH10" i="28"/>
  <c r="AC10" i="28"/>
  <c r="X10" i="28"/>
  <c r="S10" i="28"/>
  <c r="N10" i="28"/>
  <c r="I10" i="28"/>
  <c r="D10" i="28"/>
  <c r="BE9" i="28"/>
  <c r="AR9" i="28"/>
  <c r="AM9" i="28"/>
  <c r="AH9" i="28"/>
  <c r="AC9" i="28"/>
  <c r="X9" i="28"/>
  <c r="S9" i="28"/>
  <c r="N9" i="28"/>
  <c r="I9" i="28"/>
  <c r="D9" i="28"/>
  <c r="BE8" i="28"/>
  <c r="AR8" i="28"/>
  <c r="AM8" i="28"/>
  <c r="AH8" i="28"/>
  <c r="AC8" i="28"/>
  <c r="X8" i="28"/>
  <c r="S8" i="28"/>
  <c r="N8" i="28"/>
  <c r="I8" i="28"/>
  <c r="D8" i="28"/>
  <c r="BE7" i="28"/>
  <c r="BE6" i="28"/>
  <c r="AR6" i="28"/>
  <c r="AH6" i="28"/>
  <c r="AC6" i="28"/>
  <c r="X6" i="28"/>
  <c r="S6" i="28"/>
  <c r="N6" i="28"/>
  <c r="I6" i="28"/>
  <c r="D6" i="28"/>
  <c r="BE5" i="28"/>
  <c r="BE4" i="28"/>
  <c r="AG35" i="28" l="1"/>
  <c r="AG53" i="28" s="1"/>
  <c r="AR33" i="28"/>
  <c r="AR32" i="28" s="1"/>
  <c r="AL35" i="28"/>
  <c r="AM16" i="28"/>
  <c r="M81" i="28"/>
  <c r="AH16" i="28"/>
  <c r="H81" i="28"/>
  <c r="S16" i="28"/>
  <c r="R35" i="28"/>
  <c r="N16" i="28"/>
  <c r="AL53" i="28"/>
  <c r="AL54" i="28" s="1"/>
  <c r="AL55" i="28" s="1"/>
  <c r="D16" i="28"/>
  <c r="X16" i="28"/>
  <c r="AR16" i="28"/>
  <c r="AB35" i="28"/>
  <c r="AB53" i="28" s="1"/>
  <c r="R25" i="28"/>
  <c r="BK7" i="28" s="1"/>
  <c r="AL25" i="28"/>
  <c r="BK11" i="28" s="1"/>
  <c r="AG25" i="28"/>
  <c r="BK10" i="28" s="1"/>
  <c r="S33" i="28"/>
  <c r="S21" i="28" s="1"/>
  <c r="AM33" i="28"/>
  <c r="AM21" i="28" s="1"/>
  <c r="M80" i="28"/>
  <c r="AR21" i="28"/>
  <c r="C81" i="28"/>
  <c r="M35" i="28"/>
  <c r="M53" i="28" s="1"/>
  <c r="AQ38" i="28"/>
  <c r="AQ39" i="28" s="1"/>
  <c r="CA39" i="28"/>
  <c r="AR39" i="28"/>
  <c r="R53" i="28"/>
  <c r="R81" i="28"/>
  <c r="I16" i="28"/>
  <c r="AC16" i="28"/>
  <c r="C80" i="28"/>
  <c r="C35" i="28"/>
  <c r="C53" i="28" s="1"/>
  <c r="C25" i="28"/>
  <c r="BK4" i="28" s="1"/>
  <c r="W35" i="28"/>
  <c r="W53" i="28" s="1"/>
  <c r="W25" i="28"/>
  <c r="BK8" i="28" s="1"/>
  <c r="AQ35" i="28"/>
  <c r="AQ25" i="28"/>
  <c r="I33" i="28"/>
  <c r="I32" i="28" s="1"/>
  <c r="AC33" i="28"/>
  <c r="AC32" i="28" s="1"/>
  <c r="D33" i="28"/>
  <c r="D32" i="28" s="1"/>
  <c r="N33" i="28"/>
  <c r="N32" i="28" s="1"/>
  <c r="AH33" i="28"/>
  <c r="AH32" i="28" s="1"/>
  <c r="X33" i="28"/>
  <c r="X32" i="28" s="1"/>
  <c r="H25" i="28"/>
  <c r="BK5" i="28" s="1"/>
  <c r="AB25" i="28"/>
  <c r="BK9" i="28" s="1"/>
  <c r="H35" i="28"/>
  <c r="H53" i="28" s="1"/>
  <c r="G45" i="1"/>
  <c r="G46" i="1"/>
  <c r="G44" i="1"/>
  <c r="F45" i="1"/>
  <c r="F46" i="1"/>
  <c r="D80" i="1"/>
  <c r="AC21" i="28" l="1"/>
  <c r="S32" i="28"/>
  <c r="BF11" i="28"/>
  <c r="BG11" i="28" s="1"/>
  <c r="BH11" i="28" s="1"/>
  <c r="BI11" i="28" s="1"/>
  <c r="X21" i="28"/>
  <c r="R88" i="28"/>
  <c r="BF5" i="28"/>
  <c r="BG5" i="28" s="1"/>
  <c r="BH5" i="28" s="1"/>
  <c r="BI5" i="28" s="1"/>
  <c r="H54" i="28"/>
  <c r="H82" i="28" s="1"/>
  <c r="H83" i="28" s="1"/>
  <c r="C54" i="28"/>
  <c r="C82" i="28" s="1"/>
  <c r="C83" i="28" s="1"/>
  <c r="BF4" i="28"/>
  <c r="BG4" i="28" s="1"/>
  <c r="BH4" i="28" s="1"/>
  <c r="M54" i="28"/>
  <c r="M82" i="28" s="1"/>
  <c r="M83" i="28" s="1"/>
  <c r="BF6" i="28"/>
  <c r="BG6" i="28" s="1"/>
  <c r="BH6" i="28" s="1"/>
  <c r="BI6" i="28" s="1"/>
  <c r="AH21" i="28"/>
  <c r="R87" i="28"/>
  <c r="AB54" i="28"/>
  <c r="AB55" i="28" s="1"/>
  <c r="BF9" i="28"/>
  <c r="BG9" i="28" s="1"/>
  <c r="BH9" i="28" s="1"/>
  <c r="BI9" i="28" s="1"/>
  <c r="AM32" i="28"/>
  <c r="N21" i="28"/>
  <c r="AG54" i="28"/>
  <c r="AG55" i="28" s="1"/>
  <c r="BF10" i="28"/>
  <c r="BG10" i="28" s="1"/>
  <c r="BH10" i="28" s="1"/>
  <c r="BI10" i="28" s="1"/>
  <c r="I21" i="28"/>
  <c r="W54" i="28"/>
  <c r="W55" i="28" s="1"/>
  <c r="BF8" i="28"/>
  <c r="BG8" i="28" s="1"/>
  <c r="BH8" i="28" s="1"/>
  <c r="BI8" i="28" s="1"/>
  <c r="D21" i="28"/>
  <c r="BF7" i="28"/>
  <c r="BG7" i="28" s="1"/>
  <c r="BH7" i="28" s="1"/>
  <c r="BI7" i="28" s="1"/>
  <c r="R54" i="28"/>
  <c r="R82" i="28" s="1"/>
  <c r="R83" i="28" s="1"/>
  <c r="AQ53" i="28"/>
  <c r="D14" i="3"/>
  <c r="D13" i="3"/>
  <c r="D10" i="3"/>
  <c r="D9" i="3"/>
  <c r="C15" i="3"/>
  <c r="C14" i="3"/>
  <c r="C13" i="3"/>
  <c r="C12" i="3"/>
  <c r="C11" i="3"/>
  <c r="C10" i="3"/>
  <c r="C9" i="3"/>
  <c r="C8" i="3"/>
  <c r="D11" i="3"/>
  <c r="BC11" i="28" l="1"/>
  <c r="BC12" i="28"/>
  <c r="BC14" i="28"/>
  <c r="BC15" i="28"/>
  <c r="AX15" i="28"/>
  <c r="BC8" i="28"/>
  <c r="AX8" i="28"/>
  <c r="BC10" i="28"/>
  <c r="AX10" i="28"/>
  <c r="M55" i="28"/>
  <c r="M84" i="28" s="1"/>
  <c r="AW14" i="30"/>
  <c r="AX14" i="30" s="1"/>
  <c r="AX14" i="28"/>
  <c r="AW12" i="30"/>
  <c r="AX12" i="30" s="1"/>
  <c r="AX12" i="28"/>
  <c r="AW11" i="30"/>
  <c r="AX11" i="30" s="1"/>
  <c r="AX11" i="28"/>
  <c r="AW10" i="30"/>
  <c r="AX10" i="30" s="1"/>
  <c r="AW15" i="30"/>
  <c r="AX15" i="30" s="1"/>
  <c r="AW8" i="30"/>
  <c r="AX8" i="30" s="1"/>
  <c r="BI4" i="28"/>
  <c r="H55" i="28"/>
  <c r="AQ54" i="28"/>
  <c r="AQ55" i="28" s="1"/>
  <c r="R55" i="28"/>
  <c r="C55" i="28"/>
  <c r="R91" i="28"/>
  <c r="R93" i="28" s="1"/>
  <c r="R89" i="28"/>
  <c r="R90" i="28" s="1"/>
  <c r="D36" i="1"/>
  <c r="D35" i="1"/>
  <c r="D15" i="3" s="1"/>
  <c r="F240" i="1"/>
  <c r="D241" i="1"/>
  <c r="D240" i="1"/>
  <c r="D16" i="1"/>
  <c r="G3" i="2"/>
  <c r="BC13" i="28" l="1"/>
  <c r="M67" i="28"/>
  <c r="AW13" i="30"/>
  <c r="AX13" i="30" s="1"/>
  <c r="AX13" i="28"/>
  <c r="S90" i="28"/>
  <c r="S88" i="28"/>
  <c r="S87" i="28"/>
  <c r="S89" i="28"/>
  <c r="C67" i="28"/>
  <c r="C84" i="28"/>
  <c r="H84" i="28"/>
  <c r="H67" i="28"/>
  <c r="R84" i="28"/>
  <c r="R67" i="28"/>
  <c r="D26" i="3"/>
  <c r="J38" i="1"/>
  <c r="J37" i="1"/>
  <c r="C7" i="26" l="1"/>
  <c r="C8" i="26"/>
  <c r="C3" i="26"/>
  <c r="C4" i="26"/>
  <c r="C5" i="26"/>
  <c r="C6" i="26"/>
  <c r="C2" i="26"/>
  <c r="D12" i="3" l="1"/>
  <c r="E41" i="1"/>
  <c r="BC9" i="28" l="1"/>
  <c r="AX9" i="28"/>
  <c r="AW9" i="30"/>
  <c r="AX9" i="30" s="1"/>
  <c r="I31" i="20"/>
  <c r="J31" i="20" s="1"/>
  <c r="I30" i="20"/>
  <c r="J30" i="20" s="1"/>
  <c r="I29" i="20"/>
  <c r="J29" i="20" s="1"/>
  <c r="I28" i="20"/>
  <c r="J28" i="20" s="1"/>
  <c r="I27" i="20"/>
  <c r="J27" i="20" s="1"/>
  <c r="I26" i="20"/>
  <c r="J26" i="20" s="1"/>
  <c r="I25" i="20"/>
  <c r="J25" i="20" s="1"/>
  <c r="I24" i="20"/>
  <c r="J24" i="20" s="1"/>
  <c r="I23" i="20"/>
  <c r="J23" i="20" s="1"/>
  <c r="I22" i="20"/>
  <c r="J22" i="20" s="1"/>
  <c r="I21" i="20"/>
  <c r="J21" i="20" s="1"/>
  <c r="N21" i="20"/>
  <c r="Q14" i="1"/>
  <c r="Q15" i="1" s="1"/>
  <c r="B31" i="20" l="1"/>
  <c r="C31" i="20" s="1"/>
  <c r="B30" i="20"/>
  <c r="C30" i="20" s="1"/>
  <c r="B29" i="20"/>
  <c r="B28" i="20"/>
  <c r="B27" i="20"/>
  <c r="B26" i="20"/>
  <c r="B25" i="20"/>
  <c r="B24" i="20"/>
  <c r="B23" i="20"/>
  <c r="B22" i="20"/>
  <c r="B21" i="20"/>
  <c r="C21" i="20" s="1"/>
  <c r="J39" i="1" l="1"/>
  <c r="D20" i="1" s="1"/>
  <c r="D3" i="2" s="1"/>
  <c r="E21" i="20"/>
  <c r="G21" i="20" s="1"/>
  <c r="D56" i="3"/>
  <c r="D52" i="3"/>
  <c r="J43" i="1" l="1"/>
  <c r="D43" i="3"/>
  <c r="D42" i="3"/>
  <c r="D44" i="3" l="1"/>
  <c r="D54" i="3" s="1"/>
  <c r="I31" i="22"/>
  <c r="G31" i="22"/>
  <c r="E31" i="22"/>
  <c r="C31" i="22"/>
  <c r="M32" i="21"/>
  <c r="K32" i="21"/>
  <c r="K34" i="21" s="1"/>
  <c r="I32" i="21"/>
  <c r="G32" i="21"/>
  <c r="E32" i="21"/>
  <c r="I24" i="21"/>
  <c r="I26" i="21" s="1"/>
  <c r="M21" i="21"/>
  <c r="K21" i="21"/>
  <c r="I21" i="21"/>
  <c r="G21" i="21"/>
  <c r="E21" i="21"/>
  <c r="M15" i="21"/>
  <c r="M34" i="21" s="1"/>
  <c r="K15" i="21"/>
  <c r="I15" i="21"/>
  <c r="I34" i="21" s="1"/>
  <c r="G15" i="21"/>
  <c r="G24" i="21" s="1"/>
  <c r="G26" i="21" s="1"/>
  <c r="E15" i="21"/>
  <c r="M38" i="21" s="1"/>
  <c r="X29" i="20"/>
  <c r="Y29" i="20" s="1"/>
  <c r="S29" i="20"/>
  <c r="T29" i="20" s="1"/>
  <c r="N29" i="20"/>
  <c r="O29" i="20" s="1"/>
  <c r="C29" i="20"/>
  <c r="X28" i="20"/>
  <c r="Y28" i="20" s="1"/>
  <c r="S28" i="20"/>
  <c r="T28" i="20" s="1"/>
  <c r="N28" i="20"/>
  <c r="O28" i="20" s="1"/>
  <c r="C28" i="20"/>
  <c r="X27" i="20"/>
  <c r="Y27" i="20" s="1"/>
  <c r="S27" i="20"/>
  <c r="T27" i="20" s="1"/>
  <c r="N27" i="20"/>
  <c r="O27" i="20" s="1"/>
  <c r="C27" i="20"/>
  <c r="X26" i="20"/>
  <c r="Y26" i="20" s="1"/>
  <c r="S26" i="20"/>
  <c r="T26" i="20" s="1"/>
  <c r="N26" i="20"/>
  <c r="O26" i="20" s="1"/>
  <c r="C26" i="20"/>
  <c r="X25" i="20"/>
  <c r="Y25" i="20" s="1"/>
  <c r="S25" i="20"/>
  <c r="T25" i="20" s="1"/>
  <c r="N25" i="20"/>
  <c r="O25" i="20" s="1"/>
  <c r="C25" i="20"/>
  <c r="X24" i="20"/>
  <c r="Y24" i="20" s="1"/>
  <c r="S24" i="20"/>
  <c r="T24" i="20" s="1"/>
  <c r="N24" i="20"/>
  <c r="O24" i="20" s="1"/>
  <c r="C24" i="20"/>
  <c r="X23" i="20"/>
  <c r="Y23" i="20" s="1"/>
  <c r="S23" i="20"/>
  <c r="T23" i="20" s="1"/>
  <c r="N23" i="20"/>
  <c r="O23" i="20" s="1"/>
  <c r="C23" i="20"/>
  <c r="X22" i="20"/>
  <c r="Y22" i="20" s="1"/>
  <c r="S22" i="20"/>
  <c r="T22" i="20" s="1"/>
  <c r="N22" i="20"/>
  <c r="O22" i="20" s="1"/>
  <c r="Q22" i="20" s="1"/>
  <c r="C22" i="20"/>
  <c r="E22" i="20" s="1"/>
  <c r="G22" i="20" s="1"/>
  <c r="X21" i="20"/>
  <c r="Y21" i="20" s="1"/>
  <c r="S21" i="20"/>
  <c r="T21" i="20" s="1"/>
  <c r="O21" i="20"/>
  <c r="Q21" i="20" s="1"/>
  <c r="K24" i="21" l="1"/>
  <c r="K26" i="21" s="1"/>
  <c r="D7" i="3"/>
  <c r="E34" i="21"/>
  <c r="E24" i="21"/>
  <c r="E26" i="21" s="1"/>
  <c r="M24" i="21"/>
  <c r="M26" i="21" s="1"/>
  <c r="G34" i="21"/>
  <c r="D71" i="1"/>
  <c r="E33" i="2"/>
  <c r="E35" i="2" s="1"/>
  <c r="D8" i="2"/>
  <c r="E8" i="2"/>
  <c r="D37" i="3" l="1"/>
  <c r="AW7" i="30"/>
  <c r="E37" i="1"/>
  <c r="D55" i="1" l="1"/>
  <c r="D236" i="1" l="1"/>
  <c r="D73" i="1"/>
  <c r="D75" i="1" s="1"/>
  <c r="D219" i="1"/>
  <c r="D215" i="1"/>
  <c r="D213" i="1"/>
  <c r="D210" i="1"/>
  <c r="D212" i="1" s="1"/>
  <c r="D206" i="1"/>
  <c r="D204" i="1"/>
  <c r="D203" i="1"/>
  <c r="D214" i="1" l="1"/>
  <c r="D216" i="1" s="1"/>
  <c r="D205" i="1"/>
  <c r="D207" i="1" s="1"/>
  <c r="D53" i="2" l="1"/>
  <c r="E48" i="2" l="1"/>
  <c r="D48" i="2"/>
  <c r="E53" i="2"/>
  <c r="D105" i="1"/>
  <c r="D103" i="1"/>
  <c r="E74" i="1"/>
  <c r="D74" i="1"/>
  <c r="D94" i="1"/>
  <c r="D92" i="1"/>
  <c r="D220" i="1"/>
  <c r="D224" i="1"/>
  <c r="D226" i="1"/>
  <c r="D72" i="1"/>
  <c r="D152" i="1"/>
  <c r="D121" i="1"/>
  <c r="D81" i="1"/>
  <c r="D102" i="1"/>
  <c r="D91" i="1"/>
  <c r="J63" i="1" l="1"/>
  <c r="F74" i="1"/>
  <c r="D229" i="1"/>
  <c r="D230" i="1" s="1"/>
  <c r="D231" i="1" s="1"/>
  <c r="E71" i="1"/>
  <c r="D221" i="1"/>
  <c r="D223" i="1" s="1"/>
  <c r="D225" i="1" s="1"/>
  <c r="D227" i="1" s="1"/>
  <c r="E54" i="1"/>
  <c r="E72" i="1" s="1"/>
  <c r="F72" i="1" s="1"/>
  <c r="D150" i="1" s="1"/>
  <c r="D6" i="3"/>
  <c r="BB16" i="28" l="1"/>
  <c r="BC6" i="28"/>
  <c r="D16" i="3"/>
  <c r="AW6" i="30"/>
  <c r="AX6" i="28"/>
  <c r="F71" i="1"/>
  <c r="D119" i="1" s="1"/>
  <c r="D110" i="1" s="1"/>
  <c r="E75" i="1"/>
  <c r="F75" i="1" s="1"/>
  <c r="D55" i="3"/>
  <c r="I85" i="1"/>
  <c r="D153" i="1"/>
  <c r="D165" i="1" s="1"/>
  <c r="D167" i="1"/>
  <c r="D141" i="1"/>
  <c r="D154" i="1" s="1"/>
  <c r="E55" i="1"/>
  <c r="D79" i="1" s="1"/>
  <c r="D82" i="1" s="1"/>
  <c r="BC16" i="28" l="1"/>
  <c r="AW16" i="30"/>
  <c r="AX6" i="30"/>
  <c r="AX16" i="30" s="1"/>
  <c r="AW16" i="28"/>
  <c r="AX16" i="28"/>
  <c r="D84" i="1"/>
  <c r="E3" i="2"/>
  <c r="E25" i="2" s="1"/>
  <c r="E26" i="2" s="1"/>
  <c r="D21" i="2"/>
  <c r="D122" i="1"/>
  <c r="D134" i="1" s="1"/>
  <c r="D136" i="1"/>
  <c r="E73" i="1"/>
  <c r="F73" i="1" s="1"/>
  <c r="D155" i="1"/>
  <c r="D159" i="1" s="1"/>
  <c r="I81" i="1"/>
  <c r="D147" i="1"/>
  <c r="D112" i="1"/>
  <c r="D113" i="1" s="1"/>
  <c r="D123" i="1"/>
  <c r="D114" i="1"/>
  <c r="D145" i="1"/>
  <c r="D143" i="1"/>
  <c r="D144" i="1" s="1"/>
  <c r="D116" i="1"/>
  <c r="D21" i="29" l="1"/>
  <c r="AW35" i="30"/>
  <c r="AW46" i="30" s="1"/>
  <c r="D98" i="1"/>
  <c r="D100" i="1" s="1"/>
  <c r="D104" i="1" s="1"/>
  <c r="D106" i="1" s="1"/>
  <c r="E27" i="2"/>
  <c r="E21" i="2"/>
  <c r="E23" i="2" s="1"/>
  <c r="E37" i="2"/>
  <c r="E39" i="2" s="1"/>
  <c r="E50" i="2" s="1"/>
  <c r="D32" i="3"/>
  <c r="D30" i="3"/>
  <c r="J59" i="1"/>
  <c r="D124" i="1"/>
  <c r="D126" i="1" s="1"/>
  <c r="D127" i="1" s="1"/>
  <c r="D161" i="1"/>
  <c r="D157" i="1"/>
  <c r="D158" i="1" s="1"/>
  <c r="D160" i="1" s="1"/>
  <c r="D7" i="2"/>
  <c r="D9" i="2" s="1"/>
  <c r="D23" i="2"/>
  <c r="D47" i="2" s="1"/>
  <c r="D5" i="2"/>
  <c r="D43" i="2" s="1"/>
  <c r="D17" i="2"/>
  <c r="E29" i="2"/>
  <c r="E31" i="2" s="1"/>
  <c r="E49" i="2" s="1"/>
  <c r="E17" i="2"/>
  <c r="E7" i="2"/>
  <c r="E9" i="2" s="1"/>
  <c r="E5" i="2"/>
  <c r="E43" i="2" s="1"/>
  <c r="E13" i="2"/>
  <c r="E15" i="2" s="1"/>
  <c r="E45" i="2" s="1"/>
  <c r="D146" i="1"/>
  <c r="D148" i="1" s="1"/>
  <c r="D115" i="1"/>
  <c r="D117" i="1" s="1"/>
  <c r="E56" i="2" l="1"/>
  <c r="I83" i="1" s="1"/>
  <c r="AW47" i="30"/>
  <c r="AW48" i="30" s="1"/>
  <c r="BA12" i="30"/>
  <c r="BB12" i="30" s="1"/>
  <c r="BC12" i="30" s="1"/>
  <c r="D26" i="29"/>
  <c r="D24" i="29"/>
  <c r="E21" i="29"/>
  <c r="D22" i="29"/>
  <c r="D23" i="29" s="1"/>
  <c r="D86" i="1"/>
  <c r="E19" i="2"/>
  <c r="E46" i="2" s="1"/>
  <c r="D19" i="2"/>
  <c r="D46" i="2" s="1"/>
  <c r="D128" i="1"/>
  <c r="D129" i="1" s="1"/>
  <c r="D130" i="1"/>
  <c r="D162" i="1"/>
  <c r="D164" i="1" s="1"/>
  <c r="D166" i="1" s="1"/>
  <c r="D168" i="1" s="1"/>
  <c r="G72" i="1" s="1"/>
  <c r="D11" i="2"/>
  <c r="D44" i="2" s="1"/>
  <c r="D13" i="2"/>
  <c r="D15" i="2" s="1"/>
  <c r="D45" i="2" s="1"/>
  <c r="E11" i="2"/>
  <c r="E44" i="2" s="1"/>
  <c r="D88" i="1"/>
  <c r="D85" i="1"/>
  <c r="D25" i="29" l="1"/>
  <c r="D27" i="29" s="1"/>
  <c r="D29" i="29" s="1"/>
  <c r="E29" i="29" s="1"/>
  <c r="H86" i="29" s="1"/>
  <c r="H85" i="29"/>
  <c r="BC13" i="30"/>
  <c r="BD13" i="30" s="1"/>
  <c r="BD12" i="30"/>
  <c r="H73" i="1"/>
  <c r="E51" i="2"/>
  <c r="D31" i="3"/>
  <c r="J61" i="1"/>
  <c r="D131" i="1"/>
  <c r="D133" i="1" s="1"/>
  <c r="D135" i="1" s="1"/>
  <c r="D137" i="1" s="1"/>
  <c r="D51" i="2"/>
  <c r="D54" i="2" s="1"/>
  <c r="D61" i="1" s="1"/>
  <c r="D19" i="3" s="1"/>
  <c r="D87" i="1"/>
  <c r="D89" i="1" s="1"/>
  <c r="D93" i="1" s="1"/>
  <c r="E31" i="29" l="1"/>
  <c r="AW20" i="30"/>
  <c r="AW21" i="30" s="1"/>
  <c r="AX33" i="30" s="1"/>
  <c r="AX32" i="30" s="1"/>
  <c r="D31" i="29"/>
  <c r="H87" i="29"/>
  <c r="D95" i="1"/>
  <c r="G73" i="1" s="1"/>
  <c r="E54" i="2"/>
  <c r="I79" i="1" s="1"/>
  <c r="AW25" i="30" l="1"/>
  <c r="BF12" i="30" s="1"/>
  <c r="BF13" i="30" s="1"/>
  <c r="AX21" i="30"/>
  <c r="D58" i="1"/>
  <c r="D59" i="1"/>
  <c r="I87" i="1"/>
  <c r="J57" i="1"/>
  <c r="J66" i="1" s="1"/>
  <c r="D29" i="3"/>
  <c r="BB32" i="28" l="1"/>
  <c r="BB35" i="28" s="1"/>
  <c r="BB46" i="28" s="1"/>
  <c r="BB47" i="28" s="1"/>
  <c r="BB48" i="28" s="1"/>
  <c r="AW32" i="28"/>
  <c r="AW35" i="28" s="1"/>
  <c r="D33" i="3"/>
  <c r="D35" i="3" s="1"/>
  <c r="D53" i="3" s="1"/>
  <c r="D57" i="3" s="1"/>
  <c r="D20" i="3"/>
  <c r="D62" i="1"/>
  <c r="D67" i="1" s="1"/>
  <c r="F67" i="1" s="1"/>
  <c r="AW21" i="28" l="1"/>
  <c r="AW25" i="28" s="1"/>
  <c r="BB21" i="28"/>
  <c r="AW47" i="28"/>
  <c r="BF12" i="28"/>
  <c r="BG12" i="28" s="1"/>
  <c r="BH12" i="28" s="1"/>
  <c r="D22" i="3"/>
  <c r="D25" i="3" s="1"/>
  <c r="D27" i="3" s="1"/>
  <c r="BK12" i="28" l="1"/>
  <c r="BK13" i="28" s="1"/>
  <c r="AX33" i="28"/>
  <c r="AX32" i="28" s="1"/>
  <c r="BB25" i="28"/>
  <c r="BC33" i="28"/>
  <c r="BC32" i="28" s="1"/>
  <c r="BI12" i="28"/>
  <c r="BH13" i="28"/>
  <c r="BI13" i="28" s="1"/>
  <c r="AX21" i="28" l="1"/>
  <c r="BC21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Nominas1</author>
    <author>Seguro Social</author>
  </authors>
  <commentList>
    <comment ref="D16" authorId="0" shapeId="0" xr:uid="{D73D2502-DC33-7943-BD09-48A423267AA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Actualizada para 2026
</t>
        </r>
      </text>
    </comment>
    <comment ref="E44" authorId="1" shapeId="0" xr:uid="{98E311D9-DC14-48EB-9F13-C36F27C7FDE8}">
      <text>
        <r>
          <rPr>
            <b/>
            <sz val="9"/>
            <color indexed="81"/>
            <rFont val="Tahoma"/>
            <family val="2"/>
          </rPr>
          <t>Nominas1:</t>
        </r>
        <r>
          <rPr>
            <sz val="9"/>
            <color indexed="81"/>
            <rFont val="Tahoma"/>
            <family val="2"/>
          </rPr>
          <t xml:space="preserve">
Se dividio entre 365 dias y se multiplico por 14 dias 
</t>
        </r>
      </text>
    </comment>
    <comment ref="E45" authorId="1" shapeId="0" xr:uid="{A6BAAE47-5C93-4222-89AD-8F778EC75699}">
      <text>
        <r>
          <rPr>
            <b/>
            <sz val="9"/>
            <color indexed="81"/>
            <rFont val="Tahoma"/>
            <family val="2"/>
          </rPr>
          <t>Nominas1:</t>
        </r>
        <r>
          <rPr>
            <sz val="9"/>
            <color indexed="81"/>
            <rFont val="Tahoma"/>
            <family val="2"/>
          </rPr>
          <t xml:space="preserve">
Lo divide entre 365/14 dias</t>
        </r>
      </text>
    </comment>
    <comment ref="E46" authorId="1" shapeId="0" xr:uid="{EE4B8B4E-D594-4577-AA8F-C25EE981BA3D}">
      <text>
        <r>
          <rPr>
            <b/>
            <sz val="9"/>
            <color indexed="81"/>
            <rFont val="Tahoma"/>
            <family val="2"/>
          </rPr>
          <t>Nominas1:</t>
        </r>
        <r>
          <rPr>
            <sz val="9"/>
            <color indexed="81"/>
            <rFont val="Tahoma"/>
            <family val="2"/>
          </rPr>
          <t xml:space="preserve">
Se dividio entre 365 dias y se multiplico por 14 dias 
</t>
        </r>
      </text>
    </comment>
    <comment ref="F188" authorId="2" shapeId="0" xr:uid="{BCEE31D1-21C7-4F28-B21D-7FC033B2371A}">
      <text>
        <r>
          <rPr>
            <b/>
            <sz val="9"/>
            <color indexed="81"/>
            <rFont val="Tahoma"/>
            <family val="2"/>
          </rPr>
          <t>Seguro Social: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MONTO DE SUB 
ENERO $536.22  
</t>
        </r>
        <r>
          <rPr>
            <b/>
            <sz val="14"/>
            <color indexed="81"/>
            <rFont val="Tahoma"/>
            <family val="2"/>
          </rPr>
          <t>FEBRERO CAMBIAR MONTO A $535.65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39" authorId="0" shapeId="0" xr:uid="{227150BB-1F3A-5F4D-8EBC-68CFE297E53B}">
      <text>
        <r>
          <rPr>
            <b/>
            <sz val="10"/>
            <color rgb="FF000000"/>
            <rFont val="Tahoma"/>
            <family val="2"/>
          </rPr>
          <t>Microsoft Office Us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i/>
            <sz val="10"/>
            <color rgb="FF000000"/>
            <rFont val="Tahoma"/>
            <family val="2"/>
          </rPr>
          <t>REVISAR SI TENDRA COMEDOR, SINO ELIMINAR</t>
        </r>
      </text>
    </comment>
    <comment ref="D47" authorId="0" shapeId="0" xr:uid="{DA8095BA-9D8F-5648-B08F-A642464F0402}">
      <text>
        <r>
          <rPr>
            <b/>
            <sz val="10"/>
            <color rgb="FF000000"/>
            <rFont val="Tahoma"/>
            <family val="2"/>
          </rPr>
          <t xml:space="preserve">Microsoft Office User: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UTILIDAD SUGERIDA POR FINANZAS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Nominas1</author>
  </authors>
  <commentList>
    <comment ref="D6" authorId="0" shapeId="0" xr:uid="{8136050B-BB18-4610-8E44-381852FDC59E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I6" authorId="0" shapeId="0" xr:uid="{2866378D-F059-4455-B0DE-07C262EC67F8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N6" authorId="0" shapeId="0" xr:uid="{51EF2442-3381-4BFC-8EE7-CDF7AE3D3709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S6" authorId="0" shapeId="0" xr:uid="{6ED98068-BB13-4F1B-B679-3A37EE813202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X6" authorId="0" shapeId="0" xr:uid="{4778BE3F-0CE7-4A35-BA98-FA1D52680D1E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AC6" authorId="0" shapeId="0" xr:uid="{CA98BF8A-CDFA-4C0D-A803-717D9CE8D620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AH6" authorId="0" shapeId="0" xr:uid="{FE733623-3CFA-4368-9593-2C445C3FF7FA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AM6" authorId="0" shapeId="0" xr:uid="{E37746E8-3286-4F94-BC25-AA2690D070EE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AR6" authorId="0" shapeId="0" xr:uid="{348079E2-6101-4799-B3E2-0D0148F37990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AX6" authorId="0" shapeId="0" xr:uid="{88AF164D-E53E-40A2-BC22-0AE77EB26DF5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BC6" authorId="0" shapeId="0" xr:uid="{704E0811-EADA-4C0D-B83E-C5DE0675F3D9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BR6" authorId="0" shapeId="0" xr:uid="{69BEDB76-4331-409A-8A5E-A99B94B6449F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BW6" authorId="0" shapeId="0" xr:uid="{5B12E060-9341-4A78-936B-1A92C41465CE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Nominas1</author>
  </authors>
  <commentList>
    <comment ref="D6" authorId="0" shapeId="0" xr:uid="{5DC41C5E-020C-4BF8-ACBD-CA31FB57ACED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I6" authorId="0" shapeId="0" xr:uid="{4DDAA056-0799-4958-BE25-09C7DD52520A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N6" authorId="0" shapeId="0" xr:uid="{C54A876F-445E-4476-A525-D3159D947D5D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S6" authorId="0" shapeId="0" xr:uid="{4429C6E6-D2B9-4AD5-BFE1-0D76E48E23E9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X6" authorId="0" shapeId="0" xr:uid="{F2D7E064-2D66-4A19-AB23-6C63105739A3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AC6" authorId="0" shapeId="0" xr:uid="{CCD6B008-4CEB-48E1-825D-EE5A0433EAE3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AH6" authorId="0" shapeId="0" xr:uid="{ADEC66FE-B3C3-4B8C-AFA9-BEA68BD936D8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AM6" authorId="0" shapeId="0" xr:uid="{0B546D7C-750C-4686-ACA0-CEF5D1B58141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AR6" authorId="0" shapeId="0" xr:uid="{534C47FF-6CBF-4E9F-99DB-0952ECFD01F9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  <comment ref="AX6" authorId="0" shapeId="0" xr:uid="{E0F0B366-3764-4E9F-BFFD-2C190B09E56D}">
      <text>
        <r>
          <rPr>
            <b/>
            <sz val="9"/>
            <color rgb="FF000000"/>
            <rFont val="Tahoma"/>
            <family val="2"/>
          </rPr>
          <t>Nominas1: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Diferencia de $89.38 pesos en Sueldo ordinario por variacion en el Salario Diario.</t>
        </r>
      </text>
    </comment>
  </commentList>
</comments>
</file>

<file path=xl/sharedStrings.xml><?xml version="1.0" encoding="utf-8"?>
<sst xmlns="http://schemas.openxmlformats.org/spreadsheetml/2006/main" count="1680" uniqueCount="382">
  <si>
    <t>Periodo de Nómina</t>
  </si>
  <si>
    <t>Días de Pago</t>
  </si>
  <si>
    <t>Días Naturales</t>
  </si>
  <si>
    <t>Domingos</t>
  </si>
  <si>
    <t>Salarios Mínimos Vigentes</t>
  </si>
  <si>
    <t>Area Geográfica de Empresa</t>
  </si>
  <si>
    <t>Distrito Federal</t>
  </si>
  <si>
    <t>Datos de Empleado</t>
  </si>
  <si>
    <t>Salario Diario</t>
  </si>
  <si>
    <t>Salario Diario Integrado</t>
  </si>
  <si>
    <t>Años de Antigüedad en fecha de Baja</t>
  </si>
  <si>
    <t>Crédito Infonavit</t>
  </si>
  <si>
    <t>No Tiene</t>
  </si>
  <si>
    <t>Cuota Fija</t>
  </si>
  <si>
    <t>Valor de Crédito</t>
  </si>
  <si>
    <t>Días de Bimestre</t>
  </si>
  <si>
    <t>#</t>
  </si>
  <si>
    <t>Concepto</t>
  </si>
  <si>
    <t>Percepción</t>
  </si>
  <si>
    <t>Exento</t>
  </si>
  <si>
    <t>Sueldo Ordinario</t>
  </si>
  <si>
    <t>Séptimo Día</t>
  </si>
  <si>
    <t>Horas Extras Dobles</t>
  </si>
  <si>
    <t>Horas Extras Triples</t>
  </si>
  <si>
    <t>Festivo Trabajado</t>
  </si>
  <si>
    <t>Descanso Trabajado</t>
  </si>
  <si>
    <t>Prima Dominical</t>
  </si>
  <si>
    <t>Ajuste de Faltas</t>
  </si>
  <si>
    <t>Vacaciones</t>
  </si>
  <si>
    <t>Prima Vacacional</t>
  </si>
  <si>
    <t>Aguinaldo</t>
  </si>
  <si>
    <t>Reparto de Utilidades (PTU)</t>
  </si>
  <si>
    <t>Gratificación por Separación</t>
  </si>
  <si>
    <t>Indemnización</t>
  </si>
  <si>
    <t>Prima de Antigüedad</t>
  </si>
  <si>
    <t>Total de Percepciones:</t>
  </si>
  <si>
    <t>Deducciones</t>
  </si>
  <si>
    <t>ISR (ISPT)</t>
  </si>
  <si>
    <t>Neto de ISR Periódico y SUBE + ISR de Anuales y Separación</t>
  </si>
  <si>
    <t>Subsidio al Empleo</t>
  </si>
  <si>
    <t>Neto de ISR Periódico y SUBE</t>
  </si>
  <si>
    <t>Crédito INFONAVIT</t>
  </si>
  <si>
    <t>Percepciones</t>
  </si>
  <si>
    <t>Gravado</t>
  </si>
  <si>
    <t>ISR</t>
  </si>
  <si>
    <t>SUBE</t>
  </si>
  <si>
    <t>Percepciones Anuales (Art. 142 RISR)</t>
  </si>
  <si>
    <t>Pagos por Separación</t>
  </si>
  <si>
    <t>Percepciones Periódicas</t>
  </si>
  <si>
    <t>ISR de Percepciones Periódicas</t>
  </si>
  <si>
    <t>Percepciones Gravadas</t>
  </si>
  <si>
    <t>( / ) Días de Periodo de Pago</t>
  </si>
  <si>
    <t>(X) Factor Mensual</t>
  </si>
  <si>
    <t>(=) Gravadas Promedio Mensual</t>
  </si>
  <si>
    <t>Tabla Art. 113 LISR</t>
  </si>
  <si>
    <t>(-) Límite Inferior</t>
  </si>
  <si>
    <t>(=) Excedente</t>
  </si>
  <si>
    <t>(X) Tasa</t>
  </si>
  <si>
    <t>(=) Impuesto Marginal</t>
  </si>
  <si>
    <t>(+) Cuota Fija</t>
  </si>
  <si>
    <t>(=) ISR Promedio Mensual</t>
  </si>
  <si>
    <t>(/ ) Factor Mensual</t>
  </si>
  <si>
    <t>(X) Días de Periodo de Pago</t>
  </si>
  <si>
    <t>(=) ISR de Periodo</t>
  </si>
  <si>
    <t>Gravadas Promedio Mensual</t>
  </si>
  <si>
    <t>Tabla Subsidio al Empleo</t>
  </si>
  <si>
    <t>(/) Factor Mensual</t>
  </si>
  <si>
    <t>(=) Subsidio del Periodo</t>
  </si>
  <si>
    <t>ISR  de Anuales (Art. 142 RISR)</t>
  </si>
  <si>
    <t>Un Salario Mensual</t>
  </si>
  <si>
    <t>(=) ISR de Un Salario Mensual</t>
  </si>
  <si>
    <t>Impuesto "A"</t>
  </si>
  <si>
    <t>Percepciones Anuales Gravadas</t>
  </si>
  <si>
    <t>(/) Factor Anual</t>
  </si>
  <si>
    <t>(=) Anuales Mensualizadas</t>
  </si>
  <si>
    <t>(+) Salario Mensual</t>
  </si>
  <si>
    <t>(=) Promedio Mensual</t>
  </si>
  <si>
    <t>Impuesto "B"</t>
  </si>
  <si>
    <t>Diferencia de Impuestos</t>
  </si>
  <si>
    <t>Impuesto "B" - Impuesto "A"</t>
  </si>
  <si>
    <t>(/) Anuales Mensualizadas</t>
  </si>
  <si>
    <t>(=) Tasa aplicable</t>
  </si>
  <si>
    <t>(X)  Percepciones Anuales Gravadas</t>
  </si>
  <si>
    <t>(=) ISR  de Anuales</t>
  </si>
  <si>
    <t>ISR  Pagos Separación (Art. 142 RISR)</t>
  </si>
  <si>
    <t>Pagos por Separación Gravados</t>
  </si>
  <si>
    <t>(X)  Pagos por Separación Gravados</t>
  </si>
  <si>
    <t>(=) ISR  de Pagos por Separación</t>
  </si>
  <si>
    <t>Límite Inferior</t>
  </si>
  <si>
    <t>Superior</t>
  </si>
  <si>
    <t>Tasa</t>
  </si>
  <si>
    <t>Subsidio para el Empleo</t>
  </si>
  <si>
    <t>Subsidio</t>
  </si>
  <si>
    <t>Salario Base de Cotización</t>
  </si>
  <si>
    <t>Crédito INFONAVIT - Porcentaje</t>
  </si>
  <si>
    <t>(X) Porcentaje</t>
  </si>
  <si>
    <t>(=) Aportación Diaria</t>
  </si>
  <si>
    <t>(X) Días de Periodo</t>
  </si>
  <si>
    <t>(=) Rentención INFONAVIT</t>
  </si>
  <si>
    <t>Crédito INFONAVIT - Cuota Fija</t>
  </si>
  <si>
    <t>Cuota Fija Mensual</t>
  </si>
  <si>
    <t>(X) Meses de Bimestre</t>
  </si>
  <si>
    <t>(=) Cuota Fija Bimestral</t>
  </si>
  <si>
    <t>(/) Días de Bimestre</t>
  </si>
  <si>
    <t>Crédito INFONAVIT - Veces SMGDF</t>
  </si>
  <si>
    <t>Salario Mínimo General DF</t>
  </si>
  <si>
    <t>(X) Veces</t>
  </si>
  <si>
    <t>(=) Cuota Mensual</t>
  </si>
  <si>
    <t>521 - Suma de Percepciones Periódicas</t>
  </si>
  <si>
    <t>522 - Suma de Exentos Periódicos</t>
  </si>
  <si>
    <t>523 - ISR Antes de Subsidio</t>
  </si>
  <si>
    <t>524 - Subsidio al Empleo Acreditado</t>
  </si>
  <si>
    <t>Posición del Periodo en el Mes</t>
  </si>
  <si>
    <t>(-) Acumulado Mensual ISR (523)</t>
  </si>
  <si>
    <t>(=) ISR Ajustado</t>
  </si>
  <si>
    <t>Acumulado Mensual</t>
  </si>
  <si>
    <t>Suma Periódicas + Acumulado</t>
  </si>
  <si>
    <t>(-) Acumulado de Subsidio (524)</t>
  </si>
  <si>
    <t>(=) Subsidio Ajustado</t>
  </si>
  <si>
    <t>Acumulados Mensuales para Ajuste</t>
  </si>
  <si>
    <t>IMSS Empleado</t>
  </si>
  <si>
    <t>Salario Base de Cotizacion</t>
  </si>
  <si>
    <t>(X) Tasa Art. 25</t>
  </si>
  <si>
    <t>(X) Tasa Art. 106-2</t>
  </si>
  <si>
    <t>(=)Cuota Diaria Art. 106-2 (E y M)</t>
  </si>
  <si>
    <t>(X) Tasa Art 107</t>
  </si>
  <si>
    <t>(X) Tasa Invalidez y Vida</t>
  </si>
  <si>
    <t>(=) Cuota Diaria Invalidez y Vida</t>
  </si>
  <si>
    <t>(X) Tasa Cesantia y Vejez</t>
  </si>
  <si>
    <t>(=) Cuota Diaria Cesantia y Vejez</t>
  </si>
  <si>
    <t>(+) Cuota Invalidez y Vida</t>
  </si>
  <si>
    <t>(+) Cuota Cesantia y Vejez</t>
  </si>
  <si>
    <t>(=) Cuota Diara Empleado</t>
  </si>
  <si>
    <t>(X) Dias de Periodo</t>
  </si>
  <si>
    <t>(=) IMSS Empleado</t>
  </si>
  <si>
    <t xml:space="preserve"> </t>
  </si>
  <si>
    <t>CALCULO SALARIO A EMPLEADO</t>
  </si>
  <si>
    <t>IMSS Trabajador</t>
  </si>
  <si>
    <t>Salario NETO Semanal</t>
  </si>
  <si>
    <t>Total Semanal</t>
  </si>
  <si>
    <t>INFONAVIT EMPRESA</t>
  </si>
  <si>
    <t>5% INFONAVIT</t>
  </si>
  <si>
    <t>Total Infonavit</t>
  </si>
  <si>
    <t>IMPUESTO ESTATAL</t>
  </si>
  <si>
    <t>Total Percepciones</t>
  </si>
  <si>
    <t>SDI</t>
  </si>
  <si>
    <t>Factor Integracion</t>
  </si>
  <si>
    <t>Variables</t>
  </si>
  <si>
    <t>Total SDI</t>
  </si>
  <si>
    <t>(X) Guarderias y Prestaciones</t>
  </si>
  <si>
    <t>(+) Guarderias Prestacion</t>
  </si>
  <si>
    <t>RCV Patronal</t>
  </si>
  <si>
    <t>(=) Prestaciones en Dinero</t>
  </si>
  <si>
    <t>(=) Pensionados y Beneficiarios Art. 107 (E y M)</t>
  </si>
  <si>
    <t>(=) Guarderia y Prestaciones</t>
  </si>
  <si>
    <t>Salario Minimo Gral</t>
  </si>
  <si>
    <t>(=) Cuota Fija Enfermedad y Mater Empresa</t>
  </si>
  <si>
    <t>(X) Prima de Riesgo</t>
  </si>
  <si>
    <t>(=) Monto Prima de Riesgo</t>
  </si>
  <si>
    <t>Prestaciones Dinero Art. 25</t>
  </si>
  <si>
    <t>(=) Enfermedad Y Mat 106-2</t>
  </si>
  <si>
    <t>(=) Pensionados y Benefic  Art. 107</t>
  </si>
  <si>
    <t>(=) Prima de Riesgo Patronal</t>
  </si>
  <si>
    <t>(=) Cuota Fija Enfermedad y Maternidad</t>
  </si>
  <si>
    <t>IMPUESTOS PATRONALES</t>
  </si>
  <si>
    <t>IMSS Patronal</t>
  </si>
  <si>
    <t>Infonavit</t>
  </si>
  <si>
    <t>RCV</t>
  </si>
  <si>
    <t>Impuesto Estatal</t>
  </si>
  <si>
    <t>Septimo Dia</t>
  </si>
  <si>
    <t>Bono Puntualidad</t>
  </si>
  <si>
    <t>Bono Asistencia</t>
  </si>
  <si>
    <t>Percepcion:</t>
  </si>
  <si>
    <t>Deduccion:</t>
  </si>
  <si>
    <t>ISPT Trabajador</t>
  </si>
  <si>
    <t>Ajuste Moneda</t>
  </si>
  <si>
    <t>Total Deducciones</t>
  </si>
  <si>
    <t>Total Percepcion</t>
  </si>
  <si>
    <t>Neto a Pagar</t>
  </si>
  <si>
    <t>SIMULACION SALARIO</t>
  </si>
  <si>
    <t>Impuesto Patronal</t>
  </si>
  <si>
    <t>IMSS Empresa</t>
  </si>
  <si>
    <t>Total Patronales</t>
  </si>
  <si>
    <t>Salario Minimo</t>
  </si>
  <si>
    <t>(-) 3 UMA</t>
  </si>
  <si>
    <t xml:space="preserve">Enero </t>
  </si>
  <si>
    <t>Monto UMA</t>
  </si>
  <si>
    <t>Dias Periodo Mensual</t>
  </si>
  <si>
    <t>UMA</t>
  </si>
  <si>
    <t>Sodexo</t>
  </si>
  <si>
    <t>EMPRESA</t>
  </si>
  <si>
    <t>2021 A</t>
  </si>
  <si>
    <t>Prima RT 2021</t>
  </si>
  <si>
    <t>PROPUESTA</t>
  </si>
  <si>
    <t>LEY</t>
  </si>
  <si>
    <t>Tabla 1</t>
  </si>
  <si>
    <t>Tabla 2</t>
  </si>
  <si>
    <t>Tabla 3 - Gerencial</t>
  </si>
  <si>
    <t>Niveles 1 a 4 del Tabulador</t>
  </si>
  <si>
    <t>Niveles 5 y 6 del Tabulador</t>
  </si>
  <si>
    <t>Nivel 7 del Tabulador</t>
  </si>
  <si>
    <t>Años</t>
  </si>
  <si>
    <t>Prima Vac</t>
  </si>
  <si>
    <t>Factor de Integracion</t>
  </si>
  <si>
    <t>T. Extra</t>
  </si>
  <si>
    <t>Prima</t>
  </si>
  <si>
    <t>Neto + Sodexo</t>
  </si>
  <si>
    <t xml:space="preserve">Compensacion </t>
  </si>
  <si>
    <t xml:space="preserve"> $                  -  </t>
  </si>
  <si>
    <t xml:space="preserve">                     -  </t>
  </si>
  <si>
    <t>SIN  SODEX</t>
  </si>
  <si>
    <t>Costo nomina</t>
  </si>
  <si>
    <t>provision de FQ</t>
  </si>
  <si>
    <t>Comedor</t>
  </si>
  <si>
    <t>Precio</t>
  </si>
  <si>
    <t>Meses</t>
  </si>
  <si>
    <t>Glucometro</t>
  </si>
  <si>
    <t>Cubrebocas</t>
  </si>
  <si>
    <t xml:space="preserve">Total </t>
  </si>
  <si>
    <t>Jornada</t>
  </si>
  <si>
    <t>Utilidad</t>
  </si>
  <si>
    <t>OVH</t>
  </si>
  <si>
    <t>Costo Hra</t>
  </si>
  <si>
    <t>Costos EPP</t>
  </si>
  <si>
    <t>Provision de FQ</t>
  </si>
  <si>
    <t>Costo Hra Cliente</t>
  </si>
  <si>
    <t>Tabla de % para calculos de retiro, cesantia y vejes en edad avanzada</t>
  </si>
  <si>
    <t>Limite inferior</t>
  </si>
  <si>
    <t>Limite superior</t>
  </si>
  <si>
    <t>Limite inferior salarios</t>
  </si>
  <si>
    <t>Limite superio salario</t>
  </si>
  <si>
    <t>Porcentaje aplicable</t>
  </si>
  <si>
    <t>En adelante</t>
  </si>
  <si>
    <t>UMA PROYECTADA</t>
  </si>
  <si>
    <t xml:space="preserve">NOTA: </t>
  </si>
  <si>
    <t>El primer renglon y el 1.01 estan en VSM</t>
  </si>
  <si>
    <t>Del 1.5 al 4.01 son UMAS</t>
  </si>
  <si>
    <t>y el limite superior en salario es el tope de 25 UMAS</t>
  </si>
  <si>
    <t xml:space="preserve">Nota </t>
  </si>
  <si>
    <t>Hyundai</t>
  </si>
  <si>
    <t>Todas las demas</t>
  </si>
  <si>
    <t>ESTIMACION de INCREMENTO del 10%</t>
  </si>
  <si>
    <t>LA UMA YA ESTA ACTUALIZADA A 2025 (REAL)</t>
  </si>
  <si>
    <t xml:space="preserve">NUEVO TOPE SALARIAL </t>
  </si>
  <si>
    <t>Internet</t>
  </si>
  <si>
    <t>Bono Navideño</t>
  </si>
  <si>
    <t>Bono de desempeño mensual</t>
  </si>
  <si>
    <t>Bono vale de despesa</t>
  </si>
  <si>
    <t>Bono fondo de ahorro</t>
  </si>
  <si>
    <t>Exento Anual</t>
  </si>
  <si>
    <t>Por 14 dias</t>
  </si>
  <si>
    <t>CARLOS ALBERTO CANTU BARRON</t>
  </si>
  <si>
    <t>MASIEL MURRIETA VALDEZ</t>
  </si>
  <si>
    <t>JESUS ALBERTO SOTO MORA</t>
  </si>
  <si>
    <t>JESUS ALBERTO MORENO CORDOVA</t>
  </si>
  <si>
    <t>JORGE GUTIERREZ</t>
  </si>
  <si>
    <t>DITHER ROSAS</t>
  </si>
  <si>
    <t>JUAN CARLOS MENDOZA</t>
  </si>
  <si>
    <t>IVAN SALAZAR</t>
  </si>
  <si>
    <t xml:space="preserve">Rosario Moreno </t>
  </si>
  <si>
    <t>Generica</t>
  </si>
  <si>
    <t xml:space="preserve">Santander Bank USA </t>
  </si>
  <si>
    <t>Paquete incremento 10%</t>
  </si>
  <si>
    <t>P</t>
  </si>
  <si>
    <t>SIMULACION SALARIO (Bi-Weekly Payroll FULL)</t>
  </si>
  <si>
    <t>Bi-Weekly Gross Total (Fully Loaded) MXN</t>
  </si>
  <si>
    <t>Bi-Weekly Service Fee MXN</t>
  </si>
  <si>
    <t>Total Bi-Weekly Invoice MXN</t>
  </si>
  <si>
    <t>Total Bi-Weekly Invoice USD*</t>
  </si>
  <si>
    <t>NET PAY</t>
  </si>
  <si>
    <t>Percepcion (Gross Income):</t>
  </si>
  <si>
    <t>Weekly</t>
  </si>
  <si>
    <t>Monthly Reference</t>
  </si>
  <si>
    <t>Actual</t>
  </si>
  <si>
    <t>Sueldo Ordinario (Salary)</t>
  </si>
  <si>
    <t>Septimo Dia (Seventh Day)</t>
  </si>
  <si>
    <t>Bono Fondo de Ahorro (5% Savings Fund)</t>
  </si>
  <si>
    <t>Bono Vale despensa (5% food Coupons)</t>
  </si>
  <si>
    <t>Bono Internet (Home Office Bonus)</t>
  </si>
  <si>
    <t>Bono Navideño (Christmas Bonus)</t>
  </si>
  <si>
    <t>ROSARIO MORENO</t>
  </si>
  <si>
    <t>Bono Mensual (Monthly Bonus)</t>
  </si>
  <si>
    <t>BASE EN MXN PARA FACTURAR---&gt;</t>
  </si>
  <si>
    <t>Bono PTU (PTU Bonus)</t>
  </si>
  <si>
    <t>Bono PTU (PTU Bonus</t>
  </si>
  <si>
    <t>Prima Vacacional (Vacation Prime)</t>
  </si>
  <si>
    <t>Total Percepcion(Total Gross Income)</t>
  </si>
  <si>
    <t>Deduccion (Deductions)</t>
  </si>
  <si>
    <t>IMSS Trabajador (Social Security)</t>
  </si>
  <si>
    <t>ISPT Trabajador (Federal Employee Tax)</t>
  </si>
  <si>
    <t>?</t>
  </si>
  <si>
    <t>Total Deducciones (Ttoal deductions)</t>
  </si>
  <si>
    <t>Neto a Pagar (Total Week Net Pay)</t>
  </si>
  <si>
    <t>Impuesto Patronal (Employer Taxes)</t>
  </si>
  <si>
    <t>IMSS Empresa (Employer Social Security)</t>
  </si>
  <si>
    <t>Infonavit (Employer housing)</t>
  </si>
  <si>
    <t>RCV (Employer retirement)</t>
  </si>
  <si>
    <t>Impuesto Estatal (State Payroll Tax)</t>
  </si>
  <si>
    <t>Total Patronales (Total Employer Taxes)</t>
  </si>
  <si>
    <t>Operational Week Cost</t>
  </si>
  <si>
    <t>(1)</t>
  </si>
  <si>
    <t>PAYROLL BI-WEEK COST</t>
  </si>
  <si>
    <t xml:space="preserve">Promedio de seguro </t>
  </si>
  <si>
    <t>Medical Annual</t>
  </si>
  <si>
    <t>Promedio de 9 personas</t>
  </si>
  <si>
    <t>Total de polizas</t>
  </si>
  <si>
    <t>Medical Monthly</t>
  </si>
  <si>
    <t>Numero de personas</t>
  </si>
  <si>
    <t>(2)</t>
  </si>
  <si>
    <t>Medical Bi-Weekly</t>
  </si>
  <si>
    <t>Promedio</t>
  </si>
  <si>
    <t>Life Insurance Annually</t>
  </si>
  <si>
    <t>Revisar precio nuevo 2026/ $1008</t>
  </si>
  <si>
    <t>Life Insurance Montlhly</t>
  </si>
  <si>
    <t>(3)</t>
  </si>
  <si>
    <t>Life Insurance Bi-Weekly</t>
  </si>
  <si>
    <t xml:space="preserve">Monto Anual </t>
  </si>
  <si>
    <t>TC</t>
  </si>
  <si>
    <t>(1)+(2)+(3)</t>
  </si>
  <si>
    <t xml:space="preserve">SUB-TOTAL 1 </t>
  </si>
  <si>
    <t>Anual dolares</t>
  </si>
  <si>
    <t>Service Fee</t>
  </si>
  <si>
    <t>Anual pesos mex</t>
  </si>
  <si>
    <t>GT BiWeekly invoice</t>
  </si>
  <si>
    <t xml:space="preserve">26 Quincenas </t>
  </si>
  <si>
    <t>Salary</t>
  </si>
  <si>
    <t>GT</t>
  </si>
  <si>
    <t>Breakdown per category:</t>
  </si>
  <si>
    <t>CANTU</t>
  </si>
  <si>
    <t>MURRIETA</t>
  </si>
  <si>
    <t>SOTO</t>
  </si>
  <si>
    <t>MORENO</t>
  </si>
  <si>
    <t>Salary Cost</t>
  </si>
  <si>
    <t>Taxes and Benefits</t>
  </si>
  <si>
    <t>Cantu/Murrieta/Soto/Moreno</t>
  </si>
  <si>
    <t xml:space="preserve">KOFILE ASIMILADO SEMANAL </t>
  </si>
  <si>
    <r>
      <t>TARIFA  </t>
    </r>
    <r>
      <rPr>
        <b/>
        <sz val="8"/>
        <color rgb="FF2C2C2C"/>
        <rFont val="Arial Nova Light"/>
        <family val="2"/>
      </rPr>
      <t>SEMANAL ISR 2026</t>
    </r>
  </si>
  <si>
    <t>Límite inferior</t>
  </si>
  <si>
    <t>Límite superior</t>
  </si>
  <si>
    <t>Cuota fija</t>
  </si>
  <si>
    <t>Por ciento para aplicarse sobre el excedente del límite inferior</t>
  </si>
  <si>
    <t>Ingresos Gravados</t>
  </si>
  <si>
    <t>$</t>
  </si>
  <si>
    <t>%</t>
  </si>
  <si>
    <t>Excedente Lim. Inferior</t>
  </si>
  <si>
    <t>% sobre excedente</t>
  </si>
  <si>
    <t>ISR S/Excedente</t>
  </si>
  <si>
    <t>ISR a Retener del mes</t>
  </si>
  <si>
    <t>SUBSIDIO</t>
  </si>
  <si>
    <t>Neto semanal</t>
  </si>
  <si>
    <t>Neto esperado</t>
  </si>
  <si>
    <t>Diferencia</t>
  </si>
  <si>
    <t>KOFILE ASIMILADO CATORCENAL</t>
  </si>
  <si>
    <t>Considerar esta columna</t>
  </si>
  <si>
    <r>
      <t xml:space="preserve">TARIFA MENSUAL </t>
    </r>
    <r>
      <rPr>
        <b/>
        <sz val="8"/>
        <color rgb="FF2C2C2C"/>
        <rFont val="Arial Nova Light"/>
        <family val="2"/>
      </rPr>
      <t> ISR 2026</t>
    </r>
  </si>
  <si>
    <t xml:space="preserve">KOFILE ASIMILADO CATORCENAL PROPORCIONAL </t>
  </si>
  <si>
    <r>
      <t xml:space="preserve">TARIFA MENSUAL </t>
    </r>
    <r>
      <rPr>
        <b/>
        <sz val="8"/>
        <color rgb="FF2C2C2C"/>
        <rFont val="Arial Nova Light"/>
        <family val="2"/>
      </rPr>
      <t> ISR 2026</t>
    </r>
    <r>
      <rPr>
        <b/>
        <sz val="8"/>
        <rFont val="Arial Nova Light"/>
        <family val="2"/>
      </rPr>
      <t xml:space="preserve"> PROPORCIONES</t>
    </r>
  </si>
  <si>
    <t>Perc Catorcenal</t>
  </si>
  <si>
    <t>Catorcenas al año</t>
  </si>
  <si>
    <t>Percepcion anualizada</t>
  </si>
  <si>
    <r>
      <t>TARIFA ANUAL</t>
    </r>
    <r>
      <rPr>
        <b/>
        <sz val="8"/>
        <color rgb="FF2C2C2C"/>
        <rFont val="Arial Nova Light"/>
        <family val="2"/>
      </rPr>
      <t> ISR 2026</t>
    </r>
  </si>
  <si>
    <t/>
  </si>
  <si>
    <t>ISR anual</t>
  </si>
  <si>
    <t>Total de catorcenas</t>
  </si>
  <si>
    <t>ISR catorcenal</t>
  </si>
  <si>
    <t>Percepcion</t>
  </si>
  <si>
    <t>Neto</t>
  </si>
  <si>
    <t>Esperado</t>
  </si>
  <si>
    <t>RESUMEN</t>
  </si>
  <si>
    <t xml:space="preserve">Semanal </t>
  </si>
  <si>
    <t xml:space="preserve">Mensual </t>
  </si>
  <si>
    <t>Mensula Prorrateada</t>
  </si>
  <si>
    <t>Anual</t>
  </si>
  <si>
    <t xml:space="preserve">Base </t>
  </si>
  <si>
    <t xml:space="preserve">Impuesto </t>
  </si>
  <si>
    <t>Generica 1</t>
  </si>
  <si>
    <t>Generica 2</t>
  </si>
  <si>
    <t>SIMULACION SALARIO (Bi-Weekly Payroll FULL) $50K NET + BENEFITS</t>
  </si>
  <si>
    <t>SIMULACION SALARIO (Bi-Weekly Payroll FULL) $40K NET + BENEFITS</t>
  </si>
  <si>
    <t>SIMULACION SALARIO (Bi-Weekly Payroll FULL) $50K NET (INCLUDING BENEFITS)</t>
  </si>
  <si>
    <t>SIMULACION SALARIO (Bi-Weekly Payroll FULL) $40K (UNCLUDING BENEFITS)</t>
  </si>
  <si>
    <t>Promedio de 11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</si>
</sst>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%"/>
    <numFmt numFmtId="167" formatCode="_(&quot;$&quot;* #,##0.0000_);_(&quot;$&quot;* \(#,##0.0000\);_(&quot;$&quot;* &quot;-&quot;??_);_(@_)"/>
    <numFmt numFmtId="168" formatCode="0.00000%"/>
    <numFmt numFmtId="169" formatCode="_(* #,##0.0000_);_(* \(#,##0.0000\);_(* &quot;-&quot;??_);_(@_)"/>
    <numFmt numFmtId="170" formatCode="_(* #,##0.00000_);_(* \(#,##0.00000\);_(* &quot;-&quot;??_);_(@_)"/>
    <numFmt numFmtId="171" formatCode="_(* #,##0_);_(* \(#,##0\);_(* &quot;-&quot;??_);_(@_)"/>
    <numFmt numFmtId="172" formatCode="0.0000"/>
    <numFmt numFmtId="173" formatCode="[$-409]d\-mmm\-yy;@"/>
    <numFmt numFmtId="174" formatCode="[$MXN]\ #,##0.0000"/>
    <numFmt numFmtId="175" formatCode="[$MXN]\ #,##0.00"/>
    <numFmt numFmtId="176" formatCode="[$USD]\ #,##0.00"/>
  </numFmts>
  <fonts count="7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rgb="FF000000"/>
      <name val="Tahoma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sz val="8"/>
      <color indexed="10"/>
      <name val="Arial"/>
      <family val="2"/>
    </font>
    <font>
      <b/>
      <sz val="8"/>
      <color theme="1"/>
      <name val="Arial"/>
      <family val="2"/>
    </font>
    <font>
      <b/>
      <sz val="8"/>
      <color indexed="9"/>
      <name val="Arial"/>
      <family val="2"/>
    </font>
    <font>
      <sz val="8"/>
      <color indexed="23"/>
      <name val="Arial"/>
      <family val="2"/>
    </font>
    <font>
      <b/>
      <sz val="8"/>
      <color indexed="23"/>
      <name val="Arial"/>
      <family val="2"/>
    </font>
    <font>
      <b/>
      <sz val="8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i/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indexed="9"/>
      <name val="Arial"/>
      <family val="2"/>
    </font>
    <font>
      <b/>
      <i/>
      <sz val="8"/>
      <color theme="0"/>
      <name val="Arial"/>
      <family val="2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indexed="81"/>
      <name val="Tahoma"/>
      <family val="2"/>
    </font>
    <font>
      <sz val="15"/>
      <name val="Arial"/>
      <family val="2"/>
    </font>
    <font>
      <b/>
      <sz val="14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 tint="0.49998474074526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0"/>
      <name val="Calibri"/>
      <family val="2"/>
      <scheme val="minor"/>
    </font>
    <font>
      <b/>
      <i/>
      <sz val="10"/>
      <color theme="1" tint="0.499984740745262"/>
      <name val="Arial"/>
      <family val="2"/>
    </font>
    <font>
      <b/>
      <sz val="10"/>
      <color theme="1"/>
      <name val="Arial"/>
      <family val="2"/>
    </font>
    <font>
      <i/>
      <sz val="10"/>
      <color theme="1" tint="0.499984740745262"/>
      <name val="Arial"/>
      <family val="2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u/>
      <sz val="12"/>
      <color theme="1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8"/>
      <color theme="1"/>
      <name val="Arial Nova Light"/>
      <family val="2"/>
    </font>
    <font>
      <sz val="8"/>
      <color theme="1"/>
      <name val="Arial Nova Light"/>
      <family val="2"/>
    </font>
    <font>
      <b/>
      <sz val="8"/>
      <name val="Arial Nova Light"/>
      <family val="2"/>
    </font>
    <font>
      <b/>
      <sz val="8"/>
      <color rgb="FF2C2C2C"/>
      <name val="Arial Nova Light"/>
      <family val="2"/>
    </font>
    <font>
      <sz val="8"/>
      <color rgb="FF2C2C2C"/>
      <name val="Arial Nova Light"/>
      <family val="2"/>
    </font>
    <font>
      <sz val="8"/>
      <name val="Arial Nova Light"/>
      <family val="2"/>
    </font>
    <font>
      <b/>
      <sz val="8"/>
      <color rgb="FFFF0000"/>
      <name val="Arial Nova Light"/>
      <family val="2"/>
    </font>
    <font>
      <sz val="8"/>
      <color rgb="FF000000"/>
      <name val="Arial Nova Light"/>
      <family val="2"/>
    </font>
  </fonts>
  <fills count="3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263F9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6E3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2">
    <xf numFmtId="0" fontId="0" fillId="0" borderId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1" fillId="0" borderId="0"/>
    <xf numFmtId="0" fontId="10" fillId="0" borderId="0"/>
    <xf numFmtId="164" fontId="10" fillId="0" borderId="0" applyFont="0" applyFill="0" applyBorder="0" applyAlignment="0" applyProtection="0"/>
    <xf numFmtId="0" fontId="9" fillId="0" borderId="0"/>
    <xf numFmtId="0" fontId="8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0" fontId="22" fillId="0" borderId="0"/>
    <xf numFmtId="9" fontId="22" fillId="0" borderId="0" applyFont="0" applyFill="0" applyBorder="0" applyAlignment="0" applyProtection="0"/>
    <xf numFmtId="39" fontId="49" fillId="0" borderId="0"/>
    <xf numFmtId="9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56" fillId="0" borderId="0"/>
    <xf numFmtId="0" fontId="56" fillId="0" borderId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0" fontId="59" fillId="0" borderId="0" applyNumberFormat="0" applyFill="0" applyBorder="0" applyAlignment="0" applyProtection="0"/>
    <xf numFmtId="43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1" fillId="0" borderId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43">
    <xf numFmtId="0" fontId="0" fillId="0" borderId="0" xfId="0"/>
    <xf numFmtId="164" fontId="0" fillId="0" borderId="0" xfId="2" applyFont="1"/>
    <xf numFmtId="0" fontId="0" fillId="0" borderId="1" xfId="0" applyBorder="1"/>
    <xf numFmtId="164" fontId="0" fillId="0" borderId="0" xfId="2" applyFont="1" applyBorder="1"/>
    <xf numFmtId="164" fontId="0" fillId="0" borderId="0" xfId="2" applyFont="1" applyFill="1" applyBorder="1"/>
    <xf numFmtId="0" fontId="14" fillId="0" borderId="0" xfId="0" applyFont="1" applyAlignment="1">
      <alignment horizontal="center"/>
    </xf>
    <xf numFmtId="0" fontId="0" fillId="0" borderId="2" xfId="0" applyBorder="1"/>
    <xf numFmtId="164" fontId="0" fillId="0" borderId="2" xfId="2" applyFont="1" applyBorder="1"/>
    <xf numFmtId="43" fontId="17" fillId="9" borderId="0" xfId="0" applyNumberFormat="1" applyFont="1" applyFill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66" fontId="0" fillId="0" borderId="2" xfId="2" applyNumberFormat="1" applyFont="1" applyFill="1" applyBorder="1"/>
    <xf numFmtId="164" fontId="16" fillId="10" borderId="2" xfId="2" applyFont="1" applyFill="1" applyBorder="1"/>
    <xf numFmtId="164" fontId="0" fillId="0" borderId="2" xfId="2" applyFont="1" applyFill="1" applyBorder="1"/>
    <xf numFmtId="164" fontId="0" fillId="10" borderId="2" xfId="2" applyFont="1" applyFill="1" applyBorder="1"/>
    <xf numFmtId="10" fontId="0" fillId="0" borderId="2" xfId="2" applyNumberFormat="1" applyFont="1" applyFill="1" applyBorder="1"/>
    <xf numFmtId="44" fontId="16" fillId="10" borderId="2" xfId="0" applyNumberFormat="1" applyFont="1" applyFill="1" applyBorder="1"/>
    <xf numFmtId="166" fontId="0" fillId="0" borderId="2" xfId="0" applyNumberFormat="1" applyBorder="1"/>
    <xf numFmtId="0" fontId="18" fillId="0" borderId="2" xfId="0" applyFont="1" applyBorder="1" applyAlignment="1">
      <alignment horizontal="left"/>
    </xf>
    <xf numFmtId="164" fontId="19" fillId="10" borderId="2" xfId="2" applyFont="1" applyFill="1" applyBorder="1" applyAlignment="1"/>
    <xf numFmtId="0" fontId="19" fillId="0" borderId="2" xfId="0" applyFont="1" applyBorder="1" applyAlignment="1">
      <alignment horizontal="left"/>
    </xf>
    <xf numFmtId="0" fontId="18" fillId="0" borderId="2" xfId="0" applyFont="1" applyBorder="1"/>
    <xf numFmtId="165" fontId="0" fillId="0" borderId="2" xfId="1" applyFont="1" applyFill="1" applyBorder="1"/>
    <xf numFmtId="0" fontId="14" fillId="0" borderId="0" xfId="0" applyFont="1"/>
    <xf numFmtId="0" fontId="13" fillId="0" borderId="0" xfId="0" applyFont="1"/>
    <xf numFmtId="43" fontId="0" fillId="0" borderId="2" xfId="0" applyNumberFormat="1" applyBorder="1"/>
    <xf numFmtId="9" fontId="0" fillId="0" borderId="2" xfId="0" applyNumberFormat="1" applyBorder="1"/>
    <xf numFmtId="0" fontId="13" fillId="0" borderId="2" xfId="0" applyFont="1" applyBorder="1" applyAlignment="1">
      <alignment horizontal="left"/>
    </xf>
    <xf numFmtId="10" fontId="0" fillId="0" borderId="2" xfId="0" applyNumberFormat="1" applyBorder="1"/>
    <xf numFmtId="165" fontId="14" fillId="10" borderId="2" xfId="1" applyFont="1" applyFill="1" applyBorder="1"/>
    <xf numFmtId="165" fontId="0" fillId="10" borderId="2" xfId="1" applyFont="1" applyFill="1" applyBorder="1"/>
    <xf numFmtId="165" fontId="14" fillId="0" borderId="2" xfId="1" applyFont="1" applyBorder="1"/>
    <xf numFmtId="164" fontId="0" fillId="0" borderId="0" xfId="0" applyNumberFormat="1"/>
    <xf numFmtId="164" fontId="0" fillId="0" borderId="1" xfId="0" applyNumberFormat="1" applyBorder="1"/>
    <xf numFmtId="0" fontId="13" fillId="12" borderId="0" xfId="0" applyFont="1" applyFill="1"/>
    <xf numFmtId="165" fontId="0" fillId="0" borderId="0" xfId="0" applyNumberFormat="1"/>
    <xf numFmtId="164" fontId="14" fillId="0" borderId="0" xfId="0" applyNumberFormat="1" applyFont="1"/>
    <xf numFmtId="0" fontId="12" fillId="0" borderId="0" xfId="0" applyFont="1"/>
    <xf numFmtId="170" fontId="0" fillId="0" borderId="0" xfId="1" applyNumberFormat="1" applyFont="1"/>
    <xf numFmtId="165" fontId="0" fillId="0" borderId="0" xfId="1" applyFont="1"/>
    <xf numFmtId="0" fontId="12" fillId="0" borderId="2" xfId="0" applyFont="1" applyBorder="1"/>
    <xf numFmtId="0" fontId="20" fillId="0" borderId="0" xfId="0" applyFont="1"/>
    <xf numFmtId="165" fontId="20" fillId="0" borderId="0" xfId="1" applyFont="1"/>
    <xf numFmtId="44" fontId="12" fillId="16" borderId="2" xfId="0" applyNumberFormat="1" applyFont="1" applyFill="1" applyBorder="1"/>
    <xf numFmtId="43" fontId="0" fillId="0" borderId="0" xfId="0" applyNumberFormat="1"/>
    <xf numFmtId="0" fontId="0" fillId="0" borderId="2" xfId="0" applyBorder="1" applyAlignment="1">
      <alignment horizontal="center"/>
    </xf>
    <xf numFmtId="168" fontId="12" fillId="12" borderId="2" xfId="1" applyNumberFormat="1" applyFont="1" applyFill="1" applyBorder="1"/>
    <xf numFmtId="9" fontId="14" fillId="0" borderId="0" xfId="0" applyNumberFormat="1" applyFont="1" applyAlignment="1">
      <alignment horizontal="center"/>
    </xf>
    <xf numFmtId="0" fontId="21" fillId="17" borderId="18" xfId="0" applyFont="1" applyFill="1" applyBorder="1" applyAlignment="1">
      <alignment vertical="center"/>
    </xf>
    <xf numFmtId="0" fontId="21" fillId="0" borderId="13" xfId="0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43" fontId="0" fillId="15" borderId="2" xfId="0" applyNumberFormat="1" applyFill="1" applyBorder="1"/>
    <xf numFmtId="0" fontId="24" fillId="9" borderId="6" xfId="0" applyFont="1" applyFill="1" applyBorder="1" applyAlignment="1">
      <alignment horizontal="left"/>
    </xf>
    <xf numFmtId="0" fontId="14" fillId="18" borderId="0" xfId="0" applyFont="1" applyFill="1" applyAlignment="1">
      <alignment horizontal="right"/>
    </xf>
    <xf numFmtId="165" fontId="14" fillId="18" borderId="0" xfId="1" applyFont="1" applyFill="1" applyAlignment="1">
      <alignment horizontal="right"/>
    </xf>
    <xf numFmtId="165" fontId="14" fillId="11" borderId="0" xfId="1" applyFont="1" applyFill="1" applyAlignment="1">
      <alignment horizontal="center"/>
    </xf>
    <xf numFmtId="0" fontId="23" fillId="12" borderId="0" xfId="0" applyFont="1" applyFill="1"/>
    <xf numFmtId="0" fontId="25" fillId="12" borderId="24" xfId="0" applyFont="1" applyFill="1" applyBorder="1" applyAlignment="1">
      <alignment vertical="center"/>
    </xf>
    <xf numFmtId="0" fontId="25" fillId="12" borderId="25" xfId="0" applyFont="1" applyFill="1" applyBorder="1" applyAlignment="1">
      <alignment vertical="center"/>
    </xf>
    <xf numFmtId="165" fontId="0" fillId="12" borderId="0" xfId="1" applyFont="1" applyFill="1"/>
    <xf numFmtId="0" fontId="14" fillId="11" borderId="0" xfId="0" applyFont="1" applyFill="1"/>
    <xf numFmtId="165" fontId="14" fillId="11" borderId="0" xfId="1" applyFont="1" applyFill="1"/>
    <xf numFmtId="0" fontId="0" fillId="0" borderId="0" xfId="0" applyAlignment="1">
      <alignment horizontal="center"/>
    </xf>
    <xf numFmtId="165" fontId="0" fillId="0" borderId="0" xfId="1" applyFont="1" applyBorder="1"/>
    <xf numFmtId="165" fontId="14" fillId="15" borderId="0" xfId="1" applyFont="1" applyFill="1" applyAlignment="1">
      <alignment horizontal="center"/>
    </xf>
    <xf numFmtId="165" fontId="0" fillId="15" borderId="0" xfId="1" applyFont="1" applyFill="1"/>
    <xf numFmtId="165" fontId="0" fillId="0" borderId="0" xfId="1" applyFont="1" applyAlignment="1">
      <alignment horizontal="center"/>
    </xf>
    <xf numFmtId="165" fontId="0" fillId="15" borderId="0" xfId="1" applyFont="1" applyFill="1" applyBorder="1"/>
    <xf numFmtId="165" fontId="14" fillId="0" borderId="0" xfId="1" applyFont="1"/>
    <xf numFmtId="165" fontId="14" fillId="15" borderId="0" xfId="1" applyFont="1" applyFill="1" applyBorder="1"/>
    <xf numFmtId="165" fontId="0" fillId="12" borderId="0" xfId="1" applyFont="1" applyFill="1" applyBorder="1"/>
    <xf numFmtId="165" fontId="0" fillId="0" borderId="0" xfId="1" applyFont="1" applyFill="1"/>
    <xf numFmtId="165" fontId="0" fillId="0" borderId="0" xfId="1" applyFont="1" applyFill="1" applyBorder="1"/>
    <xf numFmtId="165" fontId="14" fillId="11" borderId="0" xfId="1" applyFont="1" applyFill="1" applyBorder="1"/>
    <xf numFmtId="171" fontId="0" fillId="0" borderId="0" xfId="1" applyNumberFormat="1" applyFont="1" applyAlignment="1">
      <alignment horizontal="center"/>
    </xf>
    <xf numFmtId="171" fontId="0" fillId="15" borderId="0" xfId="1" applyNumberFormat="1" applyFont="1" applyFill="1" applyAlignment="1">
      <alignment horizontal="center"/>
    </xf>
    <xf numFmtId="0" fontId="12" fillId="12" borderId="0" xfId="0" applyFont="1" applyFill="1"/>
    <xf numFmtId="164" fontId="0" fillId="0" borderId="0" xfId="1" applyNumberFormat="1" applyFont="1"/>
    <xf numFmtId="164" fontId="0" fillId="12" borderId="0" xfId="1" applyNumberFormat="1" applyFont="1" applyFill="1" applyBorder="1"/>
    <xf numFmtId="164" fontId="0" fillId="0" borderId="0" xfId="1" applyNumberFormat="1" applyFont="1" applyBorder="1"/>
    <xf numFmtId="164" fontId="14" fillId="0" borderId="0" xfId="1" applyNumberFormat="1" applyFont="1"/>
    <xf numFmtId="0" fontId="0" fillId="0" borderId="0" xfId="1" applyNumberFormat="1" applyFont="1"/>
    <xf numFmtId="0" fontId="0" fillId="0" borderId="1" xfId="1" applyNumberFormat="1" applyFont="1" applyBorder="1"/>
    <xf numFmtId="164" fontId="14" fillId="0" borderId="0" xfId="1" applyNumberFormat="1" applyFont="1" applyFill="1"/>
    <xf numFmtId="164" fontId="0" fillId="0" borderId="1" xfId="1" applyNumberFormat="1" applyFont="1" applyBorder="1"/>
    <xf numFmtId="164" fontId="14" fillId="0" borderId="0" xfId="1" applyNumberFormat="1" applyFont="1" applyBorder="1"/>
    <xf numFmtId="0" fontId="0" fillId="0" borderId="0" xfId="1" applyNumberFormat="1" applyFont="1" applyBorder="1"/>
    <xf numFmtId="164" fontId="12" fillId="0" borderId="0" xfId="1" applyNumberFormat="1" applyFont="1" applyBorder="1"/>
    <xf numFmtId="164" fontId="12" fillId="0" borderId="0" xfId="0" applyNumberFormat="1" applyFont="1"/>
    <xf numFmtId="164" fontId="12" fillId="0" borderId="1" xfId="0" applyNumberFormat="1" applyFont="1" applyBorder="1"/>
    <xf numFmtId="0" fontId="12" fillId="0" borderId="1" xfId="0" applyFont="1" applyBorder="1"/>
    <xf numFmtId="165" fontId="12" fillId="21" borderId="0" xfId="0" applyNumberFormat="1" applyFont="1" applyFill="1"/>
    <xf numFmtId="165" fontId="12" fillId="0" borderId="0" xfId="0" applyNumberFormat="1" applyFont="1"/>
    <xf numFmtId="165" fontId="14" fillId="22" borderId="0" xfId="0" applyNumberFormat="1" applyFont="1" applyFill="1"/>
    <xf numFmtId="0" fontId="0" fillId="23" borderId="0" xfId="0" applyFill="1"/>
    <xf numFmtId="0" fontId="12" fillId="23" borderId="0" xfId="0" applyFont="1" applyFill="1"/>
    <xf numFmtId="0" fontId="12" fillId="24" borderId="0" xfId="0" applyFont="1" applyFill="1"/>
    <xf numFmtId="164" fontId="0" fillId="24" borderId="0" xfId="2" applyFont="1" applyFill="1"/>
    <xf numFmtId="0" fontId="0" fillId="18" borderId="0" xfId="0" applyFill="1"/>
    <xf numFmtId="0" fontId="28" fillId="18" borderId="0" xfId="0" applyFont="1" applyFill="1" applyAlignment="1">
      <alignment horizontal="center"/>
    </xf>
    <xf numFmtId="164" fontId="0" fillId="18" borderId="0" xfId="2" applyFont="1" applyFill="1"/>
    <xf numFmtId="0" fontId="0" fillId="15" borderId="0" xfId="0" applyFill="1"/>
    <xf numFmtId="0" fontId="28" fillId="15" borderId="0" xfId="0" applyFont="1" applyFill="1" applyAlignment="1">
      <alignment horizontal="center"/>
    </xf>
    <xf numFmtId="164" fontId="0" fillId="15" borderId="0" xfId="2" applyFont="1" applyFill="1"/>
    <xf numFmtId="164" fontId="0" fillId="15" borderId="1" xfId="2" applyFont="1" applyFill="1" applyBorder="1"/>
    <xf numFmtId="164" fontId="16" fillId="15" borderId="0" xfId="2" applyFont="1" applyFill="1"/>
    <xf numFmtId="164" fontId="16" fillId="18" borderId="0" xfId="2" applyFont="1" applyFill="1"/>
    <xf numFmtId="164" fontId="0" fillId="15" borderId="0" xfId="2" applyFont="1" applyFill="1" applyBorder="1"/>
    <xf numFmtId="0" fontId="16" fillId="15" borderId="0" xfId="0" applyFont="1" applyFill="1"/>
    <xf numFmtId="0" fontId="29" fillId="15" borderId="0" xfId="0" applyFont="1" applyFill="1" applyAlignment="1">
      <alignment horizontal="center"/>
    </xf>
    <xf numFmtId="164" fontId="16" fillId="25" borderId="0" xfId="2" applyFont="1" applyFill="1"/>
    <xf numFmtId="0" fontId="13" fillId="0" borderId="22" xfId="0" applyFont="1" applyBorder="1"/>
    <xf numFmtId="164" fontId="14" fillId="0" borderId="22" xfId="0" applyNumberFormat="1" applyFont="1" applyBorder="1"/>
    <xf numFmtId="0" fontId="32" fillId="0" borderId="0" xfId="0" applyFont="1"/>
    <xf numFmtId="0" fontId="32" fillId="0" borderId="0" xfId="0" applyFont="1" applyAlignment="1">
      <alignment horizontal="left"/>
    </xf>
    <xf numFmtId="0" fontId="15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left" vertical="top" wrapText="1"/>
    </xf>
    <xf numFmtId="0" fontId="35" fillId="8" borderId="17" xfId="0" applyFont="1" applyFill="1" applyBorder="1"/>
    <xf numFmtId="164" fontId="15" fillId="0" borderId="1" xfId="2" applyFont="1" applyBorder="1"/>
    <xf numFmtId="164" fontId="15" fillId="0" borderId="0" xfId="2" applyFont="1" applyBorder="1"/>
    <xf numFmtId="0" fontId="15" fillId="0" borderId="2" xfId="0" applyFont="1" applyBorder="1" applyAlignment="1">
      <alignment horizontal="right"/>
    </xf>
    <xf numFmtId="0" fontId="15" fillId="2" borderId="2" xfId="2" applyNumberFormat="1" applyFont="1" applyFill="1" applyBorder="1" applyProtection="1">
      <protection locked="0"/>
    </xf>
    <xf numFmtId="164" fontId="36" fillId="0" borderId="0" xfId="2" applyFont="1" applyBorder="1"/>
    <xf numFmtId="0" fontId="15" fillId="0" borderId="0" xfId="0" applyFont="1" applyAlignment="1">
      <alignment horizontal="right"/>
    </xf>
    <xf numFmtId="0" fontId="15" fillId="0" borderId="0" xfId="2" applyNumberFormat="1" applyFont="1" applyFill="1" applyBorder="1"/>
    <xf numFmtId="0" fontId="35" fillId="8" borderId="2" xfId="0" applyFont="1" applyFill="1" applyBorder="1" applyAlignment="1">
      <alignment horizontal="left"/>
    </xf>
    <xf numFmtId="0" fontId="15" fillId="0" borderId="1" xfId="2" applyNumberFormat="1" applyFont="1" applyFill="1" applyBorder="1"/>
    <xf numFmtId="164" fontId="15" fillId="18" borderId="2" xfId="2" applyFont="1" applyFill="1" applyBorder="1" applyProtection="1">
      <protection locked="0"/>
    </xf>
    <xf numFmtId="0" fontId="34" fillId="0" borderId="0" xfId="0" applyFont="1" applyAlignment="1">
      <alignment horizontal="left"/>
    </xf>
    <xf numFmtId="164" fontId="15" fillId="2" borderId="2" xfId="2" applyFont="1" applyFill="1" applyBorder="1" applyProtection="1">
      <protection locked="0"/>
    </xf>
    <xf numFmtId="164" fontId="15" fillId="0" borderId="0" xfId="2" applyFont="1" applyFill="1" applyBorder="1"/>
    <xf numFmtId="0" fontId="35" fillId="8" borderId="2" xfId="0" applyFont="1" applyFill="1" applyBorder="1"/>
    <xf numFmtId="164" fontId="15" fillId="0" borderId="0" xfId="2" applyFont="1"/>
    <xf numFmtId="0" fontId="32" fillId="0" borderId="0" xfId="0" applyFont="1" applyAlignment="1">
      <alignment horizontal="left" vertical="top" wrapText="1"/>
    </xf>
    <xf numFmtId="165" fontId="15" fillId="13" borderId="2" xfId="1" applyFont="1" applyFill="1" applyBorder="1" applyProtection="1">
      <protection locked="0"/>
    </xf>
    <xf numFmtId="165" fontId="32" fillId="0" borderId="0" xfId="1" applyFont="1" applyFill="1" applyBorder="1" applyAlignment="1">
      <alignment horizontal="left"/>
    </xf>
    <xf numFmtId="165" fontId="32" fillId="0" borderId="0" xfId="1" applyFont="1" applyFill="1" applyBorder="1" applyAlignment="1">
      <alignment horizontal="left" vertical="top" wrapText="1"/>
    </xf>
    <xf numFmtId="164" fontId="15" fillId="2" borderId="2" xfId="2" applyFont="1" applyFill="1" applyBorder="1" applyAlignment="1" applyProtection="1">
      <alignment horizontal="right"/>
      <protection locked="0"/>
    </xf>
    <xf numFmtId="0" fontId="15" fillId="0" borderId="0" xfId="2" applyNumberFormat="1" applyFont="1" applyFill="1" applyBorder="1" applyProtection="1"/>
    <xf numFmtId="164" fontId="32" fillId="0" borderId="0" xfId="0" applyNumberFormat="1" applyFont="1" applyAlignment="1">
      <alignment horizontal="left" vertical="top" wrapText="1"/>
    </xf>
    <xf numFmtId="0" fontId="35" fillId="8" borderId="2" xfId="0" applyFont="1" applyFill="1" applyBorder="1" applyAlignment="1">
      <alignment horizontal="center"/>
    </xf>
    <xf numFmtId="164" fontId="35" fillId="8" borderId="2" xfId="2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9" fillId="0" borderId="0" xfId="4" applyFont="1"/>
    <xf numFmtId="0" fontId="32" fillId="0" borderId="0" xfId="4" applyFont="1"/>
    <xf numFmtId="0" fontId="40" fillId="0" borderId="0" xfId="4" applyFont="1"/>
    <xf numFmtId="0" fontId="15" fillId="0" borderId="2" xfId="0" applyFont="1" applyBorder="1"/>
    <xf numFmtId="164" fontId="15" fillId="0" borderId="2" xfId="2" applyFont="1" applyBorder="1"/>
    <xf numFmtId="0" fontId="36" fillId="0" borderId="0" xfId="0" applyFont="1"/>
    <xf numFmtId="44" fontId="41" fillId="0" borderId="0" xfId="5" applyFont="1" applyFill="1" applyBorder="1"/>
    <xf numFmtId="0" fontId="32" fillId="0" borderId="2" xfId="0" applyFont="1" applyBorder="1"/>
    <xf numFmtId="165" fontId="42" fillId="0" borderId="2" xfId="1" applyFont="1" applyFill="1" applyBorder="1" applyAlignment="1">
      <alignment horizontal="left"/>
    </xf>
    <xf numFmtId="169" fontId="42" fillId="0" borderId="2" xfId="1" applyNumberFormat="1" applyFont="1" applyFill="1" applyBorder="1" applyAlignment="1">
      <alignment horizontal="left"/>
    </xf>
    <xf numFmtId="44" fontId="43" fillId="0" borderId="0" xfId="4" applyNumberFormat="1" applyFont="1"/>
    <xf numFmtId="165" fontId="39" fillId="0" borderId="0" xfId="1" applyFont="1" applyFill="1" applyBorder="1" applyAlignment="1">
      <alignment horizontal="right"/>
    </xf>
    <xf numFmtId="165" fontId="32" fillId="0" borderId="2" xfId="1" applyFont="1" applyFill="1" applyBorder="1"/>
    <xf numFmtId="165" fontId="32" fillId="0" borderId="0" xfId="1" applyFont="1" applyFill="1"/>
    <xf numFmtId="165" fontId="32" fillId="0" borderId="2" xfId="1" applyFont="1" applyBorder="1"/>
    <xf numFmtId="165" fontId="44" fillId="0" borderId="0" xfId="0" applyNumberFormat="1" applyFont="1" applyAlignment="1">
      <alignment horizontal="left"/>
    </xf>
    <xf numFmtId="0" fontId="44" fillId="0" borderId="0" xfId="0" applyFont="1"/>
    <xf numFmtId="164" fontId="44" fillId="0" borderId="0" xfId="2" applyFont="1" applyFill="1" applyBorder="1" applyAlignment="1">
      <alignment horizontal="left"/>
    </xf>
    <xf numFmtId="165" fontId="44" fillId="0" borderId="0" xfId="0" applyNumberFormat="1" applyFont="1"/>
    <xf numFmtId="0" fontId="44" fillId="0" borderId="0" xfId="0" applyFont="1" applyAlignment="1">
      <alignment horizontal="left"/>
    </xf>
    <xf numFmtId="0" fontId="38" fillId="11" borderId="2" xfId="0" applyFont="1" applyFill="1" applyBorder="1" applyAlignment="1">
      <alignment horizontal="right"/>
    </xf>
    <xf numFmtId="164" fontId="38" fillId="11" borderId="2" xfId="2" applyFont="1" applyFill="1" applyBorder="1"/>
    <xf numFmtId="164" fontId="15" fillId="11" borderId="2" xfId="2" applyFont="1" applyFill="1" applyBorder="1"/>
    <xf numFmtId="0" fontId="32" fillId="0" borderId="2" xfId="0" applyFont="1" applyBorder="1" applyAlignment="1">
      <alignment horizontal="left"/>
    </xf>
    <xf numFmtId="0" fontId="46" fillId="8" borderId="3" xfId="0" applyFont="1" applyFill="1" applyBorder="1"/>
    <xf numFmtId="0" fontId="35" fillId="8" borderId="4" xfId="0" applyFont="1" applyFill="1" applyBorder="1" applyAlignment="1">
      <alignment horizontal="center"/>
    </xf>
    <xf numFmtId="164" fontId="46" fillId="8" borderId="5" xfId="2" applyFont="1" applyFill="1" applyBorder="1"/>
    <xf numFmtId="0" fontId="32" fillId="0" borderId="14" xfId="0" applyFont="1" applyBorder="1"/>
    <xf numFmtId="164" fontId="32" fillId="0" borderId="16" xfId="0" applyNumberFormat="1" applyFont="1" applyBorder="1"/>
    <xf numFmtId="0" fontId="32" fillId="0" borderId="9" xfId="0" applyFont="1" applyBorder="1"/>
    <xf numFmtId="0" fontId="32" fillId="0" borderId="10" xfId="0" applyFont="1" applyBorder="1"/>
    <xf numFmtId="164" fontId="32" fillId="0" borderId="10" xfId="0" applyNumberFormat="1" applyFont="1" applyBorder="1"/>
    <xf numFmtId="164" fontId="15" fillId="0" borderId="2" xfId="2" applyFont="1" applyFill="1" applyBorder="1"/>
    <xf numFmtId="165" fontId="32" fillId="0" borderId="10" xfId="0" applyNumberFormat="1" applyFont="1" applyBorder="1"/>
    <xf numFmtId="0" fontId="38" fillId="11" borderId="2" xfId="0" applyFont="1" applyFill="1" applyBorder="1"/>
    <xf numFmtId="164" fontId="15" fillId="0" borderId="0" xfId="0" applyNumberFormat="1" applyFont="1"/>
    <xf numFmtId="164" fontId="32" fillId="0" borderId="0" xfId="0" applyNumberFormat="1" applyFont="1"/>
    <xf numFmtId="164" fontId="38" fillId="0" borderId="0" xfId="2" applyFont="1"/>
    <xf numFmtId="0" fontId="32" fillId="0" borderId="11" xfId="0" applyFont="1" applyBorder="1"/>
    <xf numFmtId="0" fontId="32" fillId="0" borderId="13" xfId="0" applyFont="1" applyBorder="1"/>
    <xf numFmtId="164" fontId="47" fillId="9" borderId="0" xfId="2" applyFont="1" applyFill="1"/>
    <xf numFmtId="0" fontId="31" fillId="9" borderId="0" xfId="0" applyFont="1" applyFill="1" applyAlignment="1">
      <alignment horizontal="center"/>
    </xf>
    <xf numFmtId="164" fontId="31" fillId="9" borderId="0" xfId="2" applyFont="1" applyFill="1" applyAlignment="1">
      <alignment horizontal="center"/>
    </xf>
    <xf numFmtId="0" fontId="34" fillId="9" borderId="0" xfId="0" applyFont="1" applyFill="1" applyAlignment="1">
      <alignment horizontal="center"/>
    </xf>
    <xf numFmtId="164" fontId="15" fillId="0" borderId="2" xfId="0" applyNumberFormat="1" applyFont="1" applyBorder="1"/>
    <xf numFmtId="164" fontId="15" fillId="4" borderId="2" xfId="2" applyFont="1" applyFill="1" applyBorder="1"/>
    <xf numFmtId="164" fontId="32" fillId="0" borderId="2" xfId="2" applyFont="1" applyBorder="1"/>
    <xf numFmtId="164" fontId="15" fillId="5" borderId="2" xfId="2" applyFont="1" applyFill="1" applyBorder="1"/>
    <xf numFmtId="164" fontId="15" fillId="6" borderId="2" xfId="2" applyFont="1" applyFill="1" applyBorder="1"/>
    <xf numFmtId="164" fontId="32" fillId="0" borderId="2" xfId="0" applyNumberFormat="1" applyFont="1" applyBorder="1"/>
    <xf numFmtId="0" fontId="35" fillId="8" borderId="19" xfId="0" applyFont="1" applyFill="1" applyBorder="1" applyAlignment="1">
      <alignment horizontal="right"/>
    </xf>
    <xf numFmtId="164" fontId="46" fillId="8" borderId="20" xfId="2" applyFont="1" applyFill="1" applyBorder="1"/>
    <xf numFmtId="164" fontId="46" fillId="8" borderId="18" xfId="2" applyFont="1" applyFill="1" applyBorder="1"/>
    <xf numFmtId="0" fontId="15" fillId="0" borderId="14" xfId="0" applyFont="1" applyBorder="1" applyAlignment="1">
      <alignment horizontal="right"/>
    </xf>
    <xf numFmtId="164" fontId="15" fillId="0" borderId="15" xfId="2" applyFont="1" applyBorder="1"/>
    <xf numFmtId="164" fontId="15" fillId="0" borderId="16" xfId="2" applyFont="1" applyBorder="1"/>
    <xf numFmtId="164" fontId="39" fillId="0" borderId="15" xfId="0" applyNumberFormat="1" applyFont="1" applyBorder="1" applyAlignment="1">
      <alignment horizontal="left"/>
    </xf>
    <xf numFmtId="43" fontId="39" fillId="0" borderId="16" xfId="0" applyNumberFormat="1" applyFont="1" applyBorder="1"/>
    <xf numFmtId="0" fontId="15" fillId="0" borderId="9" xfId="0" applyFont="1" applyBorder="1" applyAlignment="1">
      <alignment horizontal="right"/>
    </xf>
    <xf numFmtId="0" fontId="15" fillId="0" borderId="0" xfId="2" applyNumberFormat="1" applyFont="1" applyBorder="1"/>
    <xf numFmtId="164" fontId="15" fillId="0" borderId="10" xfId="2" applyFont="1" applyBorder="1"/>
    <xf numFmtId="0" fontId="32" fillId="0" borderId="10" xfId="2" applyNumberFormat="1" applyFont="1" applyFill="1" applyBorder="1"/>
    <xf numFmtId="164" fontId="34" fillId="0" borderId="0" xfId="0" applyNumberFormat="1" applyFont="1" applyAlignment="1">
      <alignment horizontal="left"/>
    </xf>
    <xf numFmtId="164" fontId="39" fillId="0" borderId="10" xfId="2" applyFont="1" applyFill="1" applyBorder="1"/>
    <xf numFmtId="164" fontId="32" fillId="0" borderId="10" xfId="2" applyFont="1" applyFill="1" applyBorder="1"/>
    <xf numFmtId="165" fontId="42" fillId="0" borderId="0" xfId="1" applyFont="1" applyFill="1"/>
    <xf numFmtId="165" fontId="34" fillId="0" borderId="0" xfId="0" applyNumberFormat="1" applyFont="1" applyAlignment="1">
      <alignment horizontal="left"/>
    </xf>
    <xf numFmtId="44" fontId="32" fillId="0" borderId="10" xfId="0" applyNumberFormat="1" applyFont="1" applyBorder="1"/>
    <xf numFmtId="10" fontId="15" fillId="0" borderId="0" xfId="3" applyNumberFormat="1" applyFont="1" applyBorder="1"/>
    <xf numFmtId="0" fontId="32" fillId="0" borderId="12" xfId="0" applyFont="1" applyBorder="1" applyAlignment="1">
      <alignment horizontal="left"/>
    </xf>
    <xf numFmtId="10" fontId="32" fillId="0" borderId="13" xfId="2" applyNumberFormat="1" applyFont="1" applyFill="1" applyBorder="1"/>
    <xf numFmtId="164" fontId="32" fillId="0" borderId="0" xfId="0" applyNumberFormat="1" applyFont="1" applyAlignment="1">
      <alignment horizontal="left"/>
    </xf>
    <xf numFmtId="164" fontId="39" fillId="0" borderId="0" xfId="2" applyFont="1" applyFill="1" applyBorder="1"/>
    <xf numFmtId="164" fontId="32" fillId="0" borderId="0" xfId="2" applyFont="1" applyFill="1" applyBorder="1"/>
    <xf numFmtId="0" fontId="32" fillId="0" borderId="0" xfId="2" applyNumberFormat="1" applyFont="1" applyFill="1" applyBorder="1"/>
    <xf numFmtId="44" fontId="39" fillId="0" borderId="0" xfId="0" applyNumberFormat="1" applyFont="1"/>
    <xf numFmtId="164" fontId="15" fillId="6" borderId="0" xfId="2" applyFont="1" applyFill="1" applyBorder="1"/>
    <xf numFmtId="0" fontId="42" fillId="0" borderId="0" xfId="0" applyFont="1" applyAlignment="1">
      <alignment horizontal="left"/>
    </xf>
    <xf numFmtId="164" fontId="39" fillId="0" borderId="0" xfId="2" applyFont="1" applyFill="1" applyBorder="1" applyAlignment="1"/>
    <xf numFmtId="0" fontId="39" fillId="0" borderId="0" xfId="0" applyFont="1" applyAlignment="1">
      <alignment horizontal="left"/>
    </xf>
    <xf numFmtId="0" fontId="42" fillId="0" borderId="0" xfId="0" applyFont="1"/>
    <xf numFmtId="0" fontId="38" fillId="0" borderId="9" xfId="0" applyFont="1" applyBorder="1" applyAlignment="1">
      <alignment horizontal="right"/>
    </xf>
    <xf numFmtId="0" fontId="15" fillId="0" borderId="9" xfId="0" applyFont="1" applyBorder="1"/>
    <xf numFmtId="164" fontId="39" fillId="0" borderId="0" xfId="2" applyFont="1" applyFill="1"/>
    <xf numFmtId="0" fontId="15" fillId="0" borderId="11" xfId="0" applyFont="1" applyBorder="1" applyAlignment="1">
      <alignment horizontal="right"/>
    </xf>
    <xf numFmtId="164" fontId="15" fillId="7" borderId="12" xfId="2" applyFont="1" applyFill="1" applyBorder="1"/>
    <xf numFmtId="164" fontId="15" fillId="0" borderId="13" xfId="2" applyFont="1" applyBorder="1"/>
    <xf numFmtId="0" fontId="46" fillId="8" borderId="18" xfId="0" applyFont="1" applyFill="1" applyBorder="1"/>
    <xf numFmtId="0" fontId="15" fillId="0" borderId="10" xfId="0" applyFont="1" applyBorder="1"/>
    <xf numFmtId="164" fontId="15" fillId="4" borderId="12" xfId="2" applyFont="1" applyFill="1" applyBorder="1"/>
    <xf numFmtId="164" fontId="15" fillId="0" borderId="12" xfId="2" applyFont="1" applyBorder="1"/>
    <xf numFmtId="0" fontId="15" fillId="0" borderId="13" xfId="0" applyFont="1" applyBorder="1"/>
    <xf numFmtId="164" fontId="15" fillId="5" borderId="12" xfId="2" applyFont="1" applyFill="1" applyBorder="1"/>
    <xf numFmtId="0" fontId="38" fillId="0" borderId="0" xfId="0" applyFont="1" applyAlignment="1">
      <alignment horizontal="right"/>
    </xf>
    <xf numFmtId="164" fontId="38" fillId="0" borderId="2" xfId="2" applyFont="1" applyBorder="1" applyAlignment="1">
      <alignment horizontal="right"/>
    </xf>
    <xf numFmtId="0" fontId="38" fillId="0" borderId="2" xfId="0" applyFont="1" applyBorder="1" applyAlignment="1">
      <alignment horizontal="right"/>
    </xf>
    <xf numFmtId="0" fontId="34" fillId="0" borderId="0" xfId="0" applyFont="1" applyAlignment="1">
      <alignment horizontal="right"/>
    </xf>
    <xf numFmtId="10" fontId="15" fillId="0" borderId="2" xfId="3" applyNumberFormat="1" applyFont="1" applyBorder="1"/>
    <xf numFmtId="10" fontId="15" fillId="0" borderId="2" xfId="3" applyNumberFormat="1" applyFont="1" applyFill="1" applyBorder="1"/>
    <xf numFmtId="10" fontId="15" fillId="0" borderId="0" xfId="3" applyNumberFormat="1" applyFont="1" applyFill="1" applyBorder="1"/>
    <xf numFmtId="9" fontId="15" fillId="0" borderId="0" xfId="3" applyFont="1" applyBorder="1"/>
    <xf numFmtId="167" fontId="15" fillId="0" borderId="0" xfId="2" applyNumberFormat="1" applyFont="1" applyBorder="1"/>
    <xf numFmtId="164" fontId="15" fillId="3" borderId="0" xfId="2" applyFont="1" applyFill="1" applyBorder="1"/>
    <xf numFmtId="0" fontId="15" fillId="0" borderId="11" xfId="0" applyFont="1" applyBorder="1"/>
    <xf numFmtId="164" fontId="15" fillId="3" borderId="12" xfId="2" applyFont="1" applyFill="1" applyBorder="1"/>
    <xf numFmtId="0" fontId="38" fillId="0" borderId="0" xfId="0" applyFont="1"/>
    <xf numFmtId="0" fontId="32" fillId="0" borderId="0" xfId="18" applyFont="1"/>
    <xf numFmtId="0" fontId="34" fillId="0" borderId="0" xfId="18" applyFont="1"/>
    <xf numFmtId="0" fontId="34" fillId="19" borderId="2" xfId="18" applyFont="1" applyFill="1" applyBorder="1"/>
    <xf numFmtId="0" fontId="32" fillId="0" borderId="2" xfId="18" applyFont="1" applyBorder="1" applyAlignment="1">
      <alignment horizontal="center"/>
    </xf>
    <xf numFmtId="9" fontId="32" fillId="0" borderId="2" xfId="19" applyFont="1" applyBorder="1" applyAlignment="1">
      <alignment horizontal="center"/>
    </xf>
    <xf numFmtId="0" fontId="32" fillId="0" borderId="2" xfId="18" applyFont="1" applyBorder="1"/>
    <xf numFmtId="9" fontId="32" fillId="0" borderId="2" xfId="19" applyFont="1" applyBorder="1"/>
    <xf numFmtId="9" fontId="32" fillId="0" borderId="0" xfId="19" applyFont="1"/>
    <xf numFmtId="0" fontId="32" fillId="20" borderId="0" xfId="18" applyFont="1" applyFill="1"/>
    <xf numFmtId="9" fontId="32" fillId="20" borderId="0" xfId="19" applyFont="1" applyFill="1"/>
    <xf numFmtId="0" fontId="32" fillId="0" borderId="0" xfId="1" applyNumberFormat="1" applyFont="1"/>
    <xf numFmtId="9" fontId="34" fillId="0" borderId="0" xfId="19" applyFont="1"/>
    <xf numFmtId="0" fontId="32" fillId="0" borderId="2" xfId="1" applyNumberFormat="1" applyFont="1" applyBorder="1"/>
    <xf numFmtId="0" fontId="32" fillId="20" borderId="2" xfId="18" applyFont="1" applyFill="1" applyBorder="1" applyAlignment="1">
      <alignment horizontal="center"/>
    </xf>
    <xf numFmtId="0" fontId="32" fillId="20" borderId="2" xfId="18" applyFont="1" applyFill="1" applyBorder="1"/>
    <xf numFmtId="0" fontId="32" fillId="20" borderId="2" xfId="1" applyNumberFormat="1" applyFont="1" applyFill="1" applyBorder="1"/>
    <xf numFmtId="164" fontId="16" fillId="0" borderId="2" xfId="2" applyFont="1" applyFill="1" applyBorder="1"/>
    <xf numFmtId="39" fontId="15" fillId="0" borderId="0" xfId="20" quotePrefix="1" applyFont="1"/>
    <xf numFmtId="0" fontId="32" fillId="0" borderId="0" xfId="18" applyFont="1" applyAlignment="1">
      <alignment horizontal="center"/>
    </xf>
    <xf numFmtId="9" fontId="32" fillId="0" borderId="0" xfId="19" applyFont="1" applyBorder="1" applyAlignment="1">
      <alignment horizontal="center"/>
    </xf>
    <xf numFmtId="9" fontId="32" fillId="0" borderId="0" xfId="19" applyFont="1" applyBorder="1"/>
    <xf numFmtId="43" fontId="32" fillId="0" borderId="0" xfId="0" applyNumberFormat="1" applyFont="1"/>
    <xf numFmtId="9" fontId="38" fillId="0" borderId="0" xfId="3" applyFont="1"/>
    <xf numFmtId="169" fontId="15" fillId="0" borderId="0" xfId="1" applyNumberFormat="1" applyFont="1"/>
    <xf numFmtId="10" fontId="0" fillId="0" borderId="0" xfId="0" applyNumberFormat="1"/>
    <xf numFmtId="172" fontId="32" fillId="12" borderId="2" xfId="1" applyNumberFormat="1" applyFont="1" applyFill="1" applyBorder="1"/>
    <xf numFmtId="172" fontId="32" fillId="0" borderId="2" xfId="1" applyNumberFormat="1" applyFont="1" applyBorder="1"/>
    <xf numFmtId="0" fontId="32" fillId="24" borderId="0" xfId="18" applyFont="1" applyFill="1"/>
    <xf numFmtId="0" fontId="34" fillId="24" borderId="2" xfId="18" applyFont="1" applyFill="1" applyBorder="1"/>
    <xf numFmtId="0" fontId="32" fillId="24" borderId="2" xfId="18" applyFont="1" applyFill="1" applyBorder="1" applyAlignment="1">
      <alignment horizontal="center"/>
    </xf>
    <xf numFmtId="9" fontId="32" fillId="24" borderId="2" xfId="19" applyFont="1" applyFill="1" applyBorder="1" applyAlignment="1">
      <alignment horizontal="center"/>
    </xf>
    <xf numFmtId="0" fontId="32" fillId="24" borderId="0" xfId="18" applyFont="1" applyFill="1" applyAlignment="1">
      <alignment horizontal="center"/>
    </xf>
    <xf numFmtId="9" fontId="32" fillId="24" borderId="0" xfId="19" applyFont="1" applyFill="1" applyBorder="1" applyAlignment="1">
      <alignment horizontal="center"/>
    </xf>
    <xf numFmtId="9" fontId="32" fillId="24" borderId="0" xfId="19" applyFont="1" applyFill="1"/>
    <xf numFmtId="0" fontId="32" fillId="24" borderId="0" xfId="1" applyNumberFormat="1" applyFont="1" applyFill="1"/>
    <xf numFmtId="0" fontId="32" fillId="24" borderId="2" xfId="18" applyFont="1" applyFill="1" applyBorder="1"/>
    <xf numFmtId="172" fontId="32" fillId="24" borderId="2" xfId="1" applyNumberFormat="1" applyFont="1" applyFill="1" applyBorder="1"/>
    <xf numFmtId="165" fontId="32" fillId="0" borderId="0" xfId="1" applyFont="1"/>
    <xf numFmtId="165" fontId="34" fillId="0" borderId="0" xfId="1" applyFont="1" applyAlignment="1">
      <alignment horizontal="center" vertical="center"/>
    </xf>
    <xf numFmtId="165" fontId="34" fillId="0" borderId="0" xfId="1" applyFont="1"/>
    <xf numFmtId="165" fontId="32" fillId="0" borderId="0" xfId="1" applyFont="1" applyAlignment="1">
      <alignment horizontal="center"/>
    </xf>
    <xf numFmtId="44" fontId="32" fillId="0" borderId="0" xfId="0" applyNumberFormat="1" applyFont="1"/>
    <xf numFmtId="164" fontId="38" fillId="0" borderId="0" xfId="2" applyFont="1" applyBorder="1" applyAlignment="1">
      <alignment horizontal="right"/>
    </xf>
    <xf numFmtId="0" fontId="32" fillId="12" borderId="2" xfId="18" applyFont="1" applyFill="1" applyBorder="1" applyAlignment="1">
      <alignment horizontal="center"/>
    </xf>
    <xf numFmtId="9" fontId="32" fillId="12" borderId="2" xfId="19" applyFont="1" applyFill="1" applyBorder="1" applyAlignment="1">
      <alignment horizontal="center"/>
    </xf>
    <xf numFmtId="43" fontId="0" fillId="0" borderId="2" xfId="22" applyFont="1" applyFill="1" applyBorder="1"/>
    <xf numFmtId="43" fontId="0" fillId="0" borderId="0" xfId="22" applyFont="1"/>
    <xf numFmtId="43" fontId="0" fillId="0" borderId="2" xfId="22" applyFont="1" applyBorder="1"/>
    <xf numFmtId="10" fontId="48" fillId="0" borderId="2" xfId="0" applyNumberFormat="1" applyFont="1" applyBorder="1" applyAlignment="1">
      <alignment horizontal="right" vertical="center"/>
    </xf>
    <xf numFmtId="0" fontId="54" fillId="0" borderId="0" xfId="0" applyFont="1"/>
    <xf numFmtId="165" fontId="54" fillId="12" borderId="0" xfId="1" applyFont="1" applyFill="1"/>
    <xf numFmtId="44" fontId="15" fillId="0" borderId="0" xfId="0" applyNumberFormat="1" applyFont="1"/>
    <xf numFmtId="165" fontId="36" fillId="0" borderId="0" xfId="1" applyFont="1"/>
    <xf numFmtId="0" fontId="57" fillId="0" borderId="0" xfId="39" applyFont="1" applyAlignment="1">
      <alignment horizontal="center"/>
    </xf>
    <xf numFmtId="0" fontId="56" fillId="0" borderId="0" xfId="39"/>
    <xf numFmtId="0" fontId="57" fillId="0" borderId="0" xfId="40" applyFont="1" applyAlignment="1">
      <alignment horizontal="center"/>
    </xf>
    <xf numFmtId="173" fontId="56" fillId="0" borderId="0" xfId="39" applyNumberFormat="1" applyAlignment="1">
      <alignment horizontal="right"/>
    </xf>
    <xf numFmtId="0" fontId="56" fillId="27" borderId="0" xfId="39" applyFill="1"/>
    <xf numFmtId="165" fontId="56" fillId="0" borderId="0" xfId="1" applyFont="1"/>
    <xf numFmtId="44" fontId="57" fillId="0" borderId="0" xfId="41" applyFont="1"/>
    <xf numFmtId="174" fontId="58" fillId="0" borderId="0" xfId="39" applyNumberFormat="1" applyFont="1" applyAlignment="1">
      <alignment horizontal="right"/>
    </xf>
    <xf numFmtId="0" fontId="56" fillId="20" borderId="0" xfId="39" applyFill="1"/>
    <xf numFmtId="0" fontId="14" fillId="0" borderId="0" xfId="39" applyFont="1" applyAlignment="1">
      <alignment horizontal="center"/>
    </xf>
    <xf numFmtId="0" fontId="14" fillId="0" borderId="0" xfId="40" applyFont="1" applyAlignment="1">
      <alignment horizontal="center"/>
    </xf>
    <xf numFmtId="0" fontId="56" fillId="0" borderId="2" xfId="39" applyBorder="1"/>
    <xf numFmtId="0" fontId="56" fillId="28" borderId="2" xfId="39" applyFill="1" applyBorder="1" applyAlignment="1">
      <alignment horizontal="center" vertical="center" wrapText="1"/>
    </xf>
    <xf numFmtId="0" fontId="56" fillId="29" borderId="2" xfId="39" applyFill="1" applyBorder="1" applyAlignment="1">
      <alignment horizontal="center" vertical="center" wrapText="1"/>
    </xf>
    <xf numFmtId="0" fontId="56" fillId="28" borderId="6" xfId="39" applyFill="1" applyBorder="1" applyAlignment="1">
      <alignment horizontal="center" vertical="center" wrapText="1"/>
    </xf>
    <xf numFmtId="0" fontId="56" fillId="0" borderId="0" xfId="40"/>
    <xf numFmtId="175" fontId="56" fillId="0" borderId="2" xfId="39" applyNumberFormat="1" applyBorder="1"/>
    <xf numFmtId="176" fontId="56" fillId="0" borderId="2" xfId="39" applyNumberFormat="1" applyBorder="1"/>
    <xf numFmtId="175" fontId="56" fillId="0" borderId="0" xfId="39" applyNumberFormat="1"/>
    <xf numFmtId="0" fontId="14" fillId="0" borderId="0" xfId="39" applyFont="1"/>
    <xf numFmtId="0" fontId="58" fillId="0" borderId="0" xfId="39" applyFont="1"/>
    <xf numFmtId="0" fontId="57" fillId="0" borderId="0" xfId="39" applyFont="1" applyAlignment="1">
      <alignment horizontal="center" vertical="center"/>
    </xf>
    <xf numFmtId="0" fontId="14" fillId="0" borderId="0" xfId="40" applyFont="1"/>
    <xf numFmtId="0" fontId="58" fillId="0" borderId="0" xfId="40" applyFont="1"/>
    <xf numFmtId="175" fontId="56" fillId="0" borderId="0" xfId="39" applyNumberFormat="1" applyAlignment="1">
      <alignment horizontal="right"/>
    </xf>
    <xf numFmtId="175" fontId="58" fillId="0" borderId="0" xfId="39" applyNumberFormat="1" applyFont="1" applyAlignment="1">
      <alignment horizontal="right" vertical="center"/>
    </xf>
    <xf numFmtId="175" fontId="56" fillId="0" borderId="0" xfId="40" applyNumberFormat="1" applyAlignment="1">
      <alignment horizontal="right"/>
    </xf>
    <xf numFmtId="175" fontId="58" fillId="0" borderId="0" xfId="40" applyNumberFormat="1" applyFont="1" applyAlignment="1">
      <alignment horizontal="right" vertical="center"/>
    </xf>
    <xf numFmtId="164" fontId="56" fillId="0" borderId="0" xfId="39" applyNumberFormat="1"/>
    <xf numFmtId="175" fontId="56" fillId="0" borderId="0" xfId="40" applyNumberFormat="1"/>
    <xf numFmtId="165" fontId="57" fillId="0" borderId="0" xfId="1" applyFont="1"/>
    <xf numFmtId="0" fontId="57" fillId="0" borderId="0" xfId="39" applyFont="1"/>
    <xf numFmtId="0" fontId="12" fillId="0" borderId="0" xfId="39" applyFont="1"/>
    <xf numFmtId="175" fontId="58" fillId="0" borderId="0" xfId="41" applyNumberFormat="1" applyFont="1" applyAlignment="1">
      <alignment horizontal="right"/>
    </xf>
    <xf numFmtId="175" fontId="58" fillId="0" borderId="0" xfId="41" applyNumberFormat="1" applyFont="1" applyFill="1" applyAlignment="1">
      <alignment horizontal="right"/>
    </xf>
    <xf numFmtId="0" fontId="12" fillId="0" borderId="0" xfId="40" applyFont="1"/>
    <xf numFmtId="175" fontId="58" fillId="0" borderId="0" xfId="42" applyNumberFormat="1" applyFont="1" applyAlignment="1">
      <alignment horizontal="right"/>
    </xf>
    <xf numFmtId="175" fontId="58" fillId="0" borderId="0" xfId="42" applyNumberFormat="1" applyFont="1" applyFill="1" applyAlignment="1">
      <alignment horizontal="right"/>
    </xf>
    <xf numFmtId="175" fontId="56" fillId="27" borderId="0" xfId="39" applyNumberFormat="1" applyFill="1"/>
    <xf numFmtId="0" fontId="12" fillId="0" borderId="0" xfId="39" applyFont="1" applyAlignment="1">
      <alignment wrapText="1"/>
    </xf>
    <xf numFmtId="0" fontId="12" fillId="0" borderId="0" xfId="40" applyFont="1" applyAlignment="1">
      <alignment wrapText="1"/>
    </xf>
    <xf numFmtId="0" fontId="60" fillId="29" borderId="0" xfId="43" applyFont="1" applyFill="1" applyAlignment="1">
      <alignment vertical="center" wrapText="1"/>
    </xf>
    <xf numFmtId="0" fontId="60" fillId="29" borderId="0" xfId="43" applyFont="1" applyFill="1" applyAlignment="1">
      <alignment horizontal="right" vertical="center"/>
    </xf>
    <xf numFmtId="175" fontId="60" fillId="29" borderId="0" xfId="43" applyNumberFormat="1" applyFont="1" applyFill="1" applyAlignment="1">
      <alignment vertical="center" wrapText="1"/>
    </xf>
    <xf numFmtId="176" fontId="56" fillId="0" borderId="26" xfId="39" applyNumberFormat="1" applyBorder="1"/>
    <xf numFmtId="175" fontId="59" fillId="0" borderId="0" xfId="43" applyNumberFormat="1" applyAlignment="1">
      <alignment vertical="center" wrapText="1"/>
    </xf>
    <xf numFmtId="175" fontId="58" fillId="27" borderId="0" xfId="41" applyNumberFormat="1" applyFont="1" applyFill="1" applyAlignment="1">
      <alignment horizontal="right"/>
    </xf>
    <xf numFmtId="0" fontId="12" fillId="0" borderId="22" xfId="39" applyFont="1" applyBorder="1"/>
    <xf numFmtId="175" fontId="14" fillId="0" borderId="22" xfId="39" applyNumberFormat="1" applyFont="1" applyBorder="1" applyAlignment="1">
      <alignment horizontal="right"/>
    </xf>
    <xf numFmtId="175" fontId="61" fillId="0" borderId="22" xfId="39" applyNumberFormat="1" applyFont="1" applyBorder="1" applyAlignment="1">
      <alignment horizontal="right"/>
    </xf>
    <xf numFmtId="43" fontId="56" fillId="0" borderId="0" xfId="39" applyNumberFormat="1"/>
    <xf numFmtId="175" fontId="61" fillId="0" borderId="0" xfId="39" applyNumberFormat="1" applyFont="1" applyAlignment="1">
      <alignment horizontal="right"/>
    </xf>
    <xf numFmtId="0" fontId="12" fillId="0" borderId="22" xfId="40" applyFont="1" applyBorder="1"/>
    <xf numFmtId="175" fontId="14" fillId="0" borderId="22" xfId="40" applyNumberFormat="1" applyFont="1" applyBorder="1" applyAlignment="1">
      <alignment horizontal="right"/>
    </xf>
    <xf numFmtId="175" fontId="61" fillId="0" borderId="22" xfId="40" applyNumberFormat="1" applyFont="1" applyBorder="1" applyAlignment="1">
      <alignment horizontal="right"/>
    </xf>
    <xf numFmtId="175" fontId="61" fillId="0" borderId="0" xfId="40" applyNumberFormat="1" applyFont="1" applyAlignment="1">
      <alignment horizontal="right"/>
    </xf>
    <xf numFmtId="175" fontId="61" fillId="27" borderId="0" xfId="39" applyNumberFormat="1" applyFont="1" applyFill="1" applyAlignment="1">
      <alignment horizontal="right"/>
    </xf>
    <xf numFmtId="43" fontId="0" fillId="0" borderId="0" xfId="44" applyFont="1"/>
    <xf numFmtId="0" fontId="12" fillId="12" borderId="0" xfId="39" applyFont="1" applyFill="1"/>
    <xf numFmtId="164" fontId="56" fillId="12" borderId="0" xfId="39" applyNumberFormat="1" applyFill="1"/>
    <xf numFmtId="0" fontId="56" fillId="12" borderId="0" xfId="39" applyFill="1"/>
    <xf numFmtId="0" fontId="12" fillId="0" borderId="1" xfId="39" applyFont="1" applyBorder="1"/>
    <xf numFmtId="175" fontId="56" fillId="0" borderId="1" xfId="39" applyNumberFormat="1" applyBorder="1" applyAlignment="1">
      <alignment horizontal="right"/>
    </xf>
    <xf numFmtId="175" fontId="14" fillId="0" borderId="0" xfId="39" applyNumberFormat="1" applyFont="1" applyAlignment="1">
      <alignment horizontal="right"/>
    </xf>
    <xf numFmtId="9" fontId="62" fillId="0" borderId="0" xfId="45" applyFont="1"/>
    <xf numFmtId="9" fontId="62" fillId="0" borderId="0" xfId="45" applyFont="1" applyFill="1"/>
    <xf numFmtId="175" fontId="14" fillId="0" borderId="0" xfId="40" applyNumberFormat="1" applyFont="1" applyAlignment="1">
      <alignment horizontal="right"/>
    </xf>
    <xf numFmtId="9" fontId="62" fillId="0" borderId="0" xfId="46" applyFont="1"/>
    <xf numFmtId="9" fontId="62" fillId="0" borderId="0" xfId="46" applyFont="1" applyFill="1"/>
    <xf numFmtId="9" fontId="62" fillId="27" borderId="0" xfId="45" applyFont="1" applyFill="1"/>
    <xf numFmtId="0" fontId="63" fillId="0" borderId="0" xfId="39" applyFont="1"/>
    <xf numFmtId="175" fontId="58" fillId="0" borderId="0" xfId="39" applyNumberFormat="1" applyFont="1" applyAlignment="1">
      <alignment horizontal="right"/>
    </xf>
    <xf numFmtId="0" fontId="63" fillId="0" borderId="0" xfId="40" applyFont="1"/>
    <xf numFmtId="175" fontId="58" fillId="0" borderId="0" xfId="40" applyNumberFormat="1" applyFont="1" applyAlignment="1">
      <alignment horizontal="right"/>
    </xf>
    <xf numFmtId="0" fontId="12" fillId="30" borderId="0" xfId="39" applyFont="1" applyFill="1"/>
    <xf numFmtId="175" fontId="0" fillId="30" borderId="0" xfId="44" applyNumberFormat="1" applyFont="1" applyFill="1" applyAlignment="1">
      <alignment horizontal="right"/>
    </xf>
    <xf numFmtId="0" fontId="12" fillId="30" borderId="0" xfId="40" applyFont="1" applyFill="1"/>
    <xf numFmtId="0" fontId="64" fillId="0" borderId="0" xfId="39" applyFont="1"/>
    <xf numFmtId="175" fontId="64" fillId="0" borderId="0" xfId="44" applyNumberFormat="1" applyFont="1" applyFill="1" applyAlignment="1">
      <alignment horizontal="right"/>
    </xf>
    <xf numFmtId="0" fontId="64" fillId="0" borderId="0" xfId="40" applyFont="1"/>
    <xf numFmtId="165" fontId="64" fillId="0" borderId="0" xfId="1" applyFont="1"/>
    <xf numFmtId="43" fontId="64" fillId="0" borderId="0" xfId="44" applyFont="1"/>
    <xf numFmtId="0" fontId="12" fillId="0" borderId="1" xfId="40" applyFont="1" applyBorder="1"/>
    <xf numFmtId="175" fontId="56" fillId="0" borderId="1" xfId="40" applyNumberFormat="1" applyBorder="1" applyAlignment="1">
      <alignment horizontal="right"/>
    </xf>
    <xf numFmtId="9" fontId="56" fillId="0" borderId="0" xfId="45" applyFont="1"/>
    <xf numFmtId="9" fontId="56" fillId="0" borderId="0" xfId="45" applyFont="1" applyFill="1"/>
    <xf numFmtId="9" fontId="56" fillId="0" borderId="0" xfId="46" applyFont="1"/>
    <xf numFmtId="9" fontId="56" fillId="0" borderId="0" xfId="46" applyFont="1" applyFill="1"/>
    <xf numFmtId="9" fontId="56" fillId="27" borderId="0" xfId="45" applyFont="1" applyFill="1"/>
    <xf numFmtId="175" fontId="65" fillId="0" borderId="0" xfId="39" applyNumberFormat="1" applyFont="1"/>
    <xf numFmtId="175" fontId="65" fillId="0" borderId="0" xfId="40" applyNumberFormat="1" applyFont="1"/>
    <xf numFmtId="175" fontId="65" fillId="27" borderId="0" xfId="39" applyNumberFormat="1" applyFont="1" applyFill="1"/>
    <xf numFmtId="0" fontId="12" fillId="0" borderId="4" xfId="39" applyFont="1" applyBorder="1" applyAlignment="1">
      <alignment horizontal="right"/>
    </xf>
    <xf numFmtId="175" fontId="0" fillId="0" borderId="4" xfId="41" applyNumberFormat="1" applyFont="1" applyBorder="1" applyAlignment="1">
      <alignment horizontal="right"/>
    </xf>
    <xf numFmtId="0" fontId="12" fillId="0" borderId="4" xfId="40" applyFont="1" applyBorder="1" applyAlignment="1">
      <alignment horizontal="right"/>
    </xf>
    <xf numFmtId="175" fontId="0" fillId="0" borderId="4" xfId="42" applyNumberFormat="1" applyFont="1" applyBorder="1" applyAlignment="1">
      <alignment horizontal="right"/>
    </xf>
    <xf numFmtId="0" fontId="57" fillId="0" borderId="0" xfId="39" quotePrefix="1" applyFont="1" applyAlignment="1">
      <alignment horizontal="right"/>
    </xf>
    <xf numFmtId="0" fontId="12" fillId="20" borderId="1" xfId="39" applyFont="1" applyFill="1" applyBorder="1"/>
    <xf numFmtId="175" fontId="16" fillId="20" borderId="1" xfId="39" applyNumberFormat="1" applyFont="1" applyFill="1" applyBorder="1" applyAlignment="1">
      <alignment horizontal="right"/>
    </xf>
    <xf numFmtId="0" fontId="57" fillId="0" borderId="0" xfId="40" quotePrefix="1" applyFont="1" applyAlignment="1">
      <alignment horizontal="right"/>
    </xf>
    <xf numFmtId="0" fontId="12" fillId="20" borderId="1" xfId="40" applyFont="1" applyFill="1" applyBorder="1"/>
    <xf numFmtId="175" fontId="16" fillId="20" borderId="1" xfId="40" applyNumberFormat="1" applyFont="1" applyFill="1" applyBorder="1" applyAlignment="1">
      <alignment horizontal="right"/>
    </xf>
    <xf numFmtId="0" fontId="58" fillId="27" borderId="0" xfId="39" applyFont="1" applyFill="1"/>
    <xf numFmtId="0" fontId="56" fillId="0" borderId="6" xfId="39" applyBorder="1"/>
    <xf numFmtId="0" fontId="56" fillId="0" borderId="27" xfId="39" applyBorder="1"/>
    <xf numFmtId="175" fontId="57" fillId="0" borderId="0" xfId="40" applyNumberFormat="1" applyFont="1"/>
    <xf numFmtId="175" fontId="56" fillId="0" borderId="27" xfId="39" applyNumberFormat="1" applyBorder="1"/>
    <xf numFmtId="0" fontId="57" fillId="32" borderId="0" xfId="39" applyFont="1" applyFill="1"/>
    <xf numFmtId="175" fontId="57" fillId="32" borderId="0" xfId="39" applyNumberFormat="1" applyFont="1" applyFill="1"/>
    <xf numFmtId="0" fontId="57" fillId="32" borderId="0" xfId="40" applyFont="1" applyFill="1"/>
    <xf numFmtId="175" fontId="57" fillId="32" borderId="0" xfId="40" applyNumberFormat="1" applyFont="1" applyFill="1"/>
    <xf numFmtId="0" fontId="56" fillId="0" borderId="7" xfId="39" applyBorder="1"/>
    <xf numFmtId="165" fontId="56" fillId="0" borderId="8" xfId="1" applyFont="1" applyBorder="1"/>
    <xf numFmtId="43" fontId="0" fillId="0" borderId="27" xfId="44" applyFont="1" applyBorder="1"/>
    <xf numFmtId="0" fontId="56" fillId="11" borderId="6" xfId="39" applyFill="1" applyBorder="1"/>
    <xf numFmtId="43" fontId="0" fillId="11" borderId="27" xfId="44" applyFont="1" applyFill="1" applyBorder="1"/>
    <xf numFmtId="10" fontId="56" fillId="0" borderId="0" xfId="39" applyNumberFormat="1" applyAlignment="1">
      <alignment horizontal="left"/>
    </xf>
    <xf numFmtId="175" fontId="56" fillId="0" borderId="0" xfId="39" applyNumberFormat="1" applyAlignment="1">
      <alignment horizontal="left"/>
    </xf>
    <xf numFmtId="10" fontId="56" fillId="0" borderId="0" xfId="40" applyNumberFormat="1" applyAlignment="1">
      <alignment horizontal="left"/>
    </xf>
    <xf numFmtId="10" fontId="56" fillId="27" borderId="0" xfId="39" applyNumberFormat="1" applyFill="1" applyAlignment="1">
      <alignment horizontal="left"/>
    </xf>
    <xf numFmtId="0" fontId="57" fillId="33" borderId="0" xfId="39" applyFont="1" applyFill="1"/>
    <xf numFmtId="175" fontId="57" fillId="33" borderId="0" xfId="39" applyNumberFormat="1" applyFont="1" applyFill="1"/>
    <xf numFmtId="0" fontId="57" fillId="33" borderId="0" xfId="40" applyFont="1" applyFill="1"/>
    <xf numFmtId="175" fontId="57" fillId="33" borderId="0" xfId="40" applyNumberFormat="1" applyFont="1" applyFill="1"/>
    <xf numFmtId="165" fontId="56" fillId="0" borderId="0" xfId="40" applyNumberFormat="1"/>
    <xf numFmtId="0" fontId="56" fillId="31" borderId="7" xfId="39" applyFill="1" applyBorder="1"/>
    <xf numFmtId="43" fontId="0" fillId="31" borderId="8" xfId="44" applyFont="1" applyFill="1" applyBorder="1"/>
    <xf numFmtId="43" fontId="56" fillId="0" borderId="0" xfId="44"/>
    <xf numFmtId="0" fontId="58" fillId="0" borderId="0" xfId="39" applyFont="1" applyAlignment="1">
      <alignment horizontal="right"/>
    </xf>
    <xf numFmtId="176" fontId="58" fillId="0" borderId="0" xfId="39" applyNumberFormat="1" applyFont="1"/>
    <xf numFmtId="0" fontId="65" fillId="0" borderId="0" xfId="39" applyFont="1"/>
    <xf numFmtId="0" fontId="67" fillId="0" borderId="0" xfId="39" applyFont="1"/>
    <xf numFmtId="9" fontId="0" fillId="0" borderId="0" xfId="45" applyFont="1"/>
    <xf numFmtId="9" fontId="56" fillId="0" borderId="0" xfId="40" applyNumberFormat="1" applyAlignment="1">
      <alignment horizontal="left"/>
    </xf>
    <xf numFmtId="0" fontId="71" fillId="0" borderId="0" xfId="47" applyFont="1"/>
    <xf numFmtId="165" fontId="71" fillId="0" borderId="0" xfId="47" applyNumberFormat="1" applyFont="1"/>
    <xf numFmtId="0" fontId="72" fillId="0" borderId="0" xfId="47" applyFont="1"/>
    <xf numFmtId="0" fontId="74" fillId="35" borderId="2" xfId="47" applyFont="1" applyFill="1" applyBorder="1" applyAlignment="1">
      <alignment vertical="center" wrapText="1"/>
    </xf>
    <xf numFmtId="0" fontId="72" fillId="0" borderId="0" xfId="25" applyFont="1"/>
    <xf numFmtId="165" fontId="72" fillId="0" borderId="0" xfId="48" applyFont="1"/>
    <xf numFmtId="0" fontId="75" fillId="0" borderId="0" xfId="25" applyFont="1"/>
    <xf numFmtId="165" fontId="71" fillId="0" borderId="0" xfId="48" applyFont="1" applyFill="1" applyBorder="1"/>
    <xf numFmtId="0" fontId="74" fillId="35" borderId="2" xfId="47" applyFont="1" applyFill="1" applyBorder="1"/>
    <xf numFmtId="10" fontId="74" fillId="35" borderId="2" xfId="47" applyNumberFormat="1" applyFont="1" applyFill="1" applyBorder="1"/>
    <xf numFmtId="165" fontId="71" fillId="0" borderId="0" xfId="49" applyFont="1"/>
    <xf numFmtId="165" fontId="71" fillId="0" borderId="0" xfId="48" applyFont="1" applyFill="1"/>
    <xf numFmtId="4" fontId="74" fillId="35" borderId="2" xfId="47" applyNumberFormat="1" applyFont="1" applyFill="1" applyBorder="1"/>
    <xf numFmtId="10" fontId="75" fillId="0" borderId="0" xfId="50" applyNumberFormat="1" applyFont="1" applyFill="1" applyBorder="1" applyProtection="1"/>
    <xf numFmtId="9" fontId="74" fillId="35" borderId="2" xfId="47" applyNumberFormat="1" applyFont="1" applyFill="1" applyBorder="1"/>
    <xf numFmtId="39" fontId="75" fillId="0" borderId="0" xfId="20" applyFont="1"/>
    <xf numFmtId="165" fontId="71" fillId="0" borderId="0" xfId="48" applyFont="1"/>
    <xf numFmtId="165" fontId="71" fillId="0" borderId="0" xfId="48" applyFont="1" applyBorder="1"/>
    <xf numFmtId="0" fontId="72" fillId="0" borderId="4" xfId="25" applyFont="1" applyBorder="1"/>
    <xf numFmtId="43" fontId="72" fillId="0" borderId="4" xfId="25" applyNumberFormat="1" applyFont="1" applyBorder="1"/>
    <xf numFmtId="165" fontId="75" fillId="0" borderId="0" xfId="49" applyFont="1"/>
    <xf numFmtId="43" fontId="76" fillId="0" borderId="0" xfId="25" applyNumberFormat="1" applyFont="1"/>
    <xf numFmtId="0" fontId="71" fillId="24" borderId="0" xfId="47" applyFont="1" applyFill="1" applyAlignment="1">
      <alignment horizontal="center" wrapText="1"/>
    </xf>
    <xf numFmtId="0" fontId="71" fillId="24" borderId="0" xfId="47" applyFont="1" applyFill="1"/>
    <xf numFmtId="165" fontId="70" fillId="24" borderId="0" xfId="49" applyFont="1" applyFill="1"/>
    <xf numFmtId="165" fontId="71" fillId="24" borderId="0" xfId="49" applyFont="1" applyFill="1"/>
    <xf numFmtId="43" fontId="71" fillId="0" borderId="0" xfId="47" applyNumberFormat="1" applyFont="1"/>
    <xf numFmtId="165" fontId="70" fillId="24" borderId="4" xfId="49" applyFont="1" applyFill="1" applyBorder="1"/>
    <xf numFmtId="0" fontId="75" fillId="0" borderId="0" xfId="47" applyFont="1"/>
    <xf numFmtId="164" fontId="71" fillId="0" borderId="0" xfId="47" applyNumberFormat="1" applyFont="1"/>
    <xf numFmtId="165" fontId="71" fillId="0" borderId="2" xfId="49" applyFont="1" applyBorder="1"/>
    <xf numFmtId="0" fontId="70" fillId="36" borderId="0" xfId="47" applyFont="1" applyFill="1" applyAlignment="1">
      <alignment horizontal="center"/>
    </xf>
    <xf numFmtId="0" fontId="74" fillId="35" borderId="2" xfId="47" applyFont="1" applyFill="1" applyBorder="1" applyAlignment="1">
      <alignment vertical="center"/>
    </xf>
    <xf numFmtId="0" fontId="71" fillId="0" borderId="0" xfId="47" quotePrefix="1" applyFont="1"/>
    <xf numFmtId="0" fontId="77" fillId="35" borderId="2" xfId="47" applyFont="1" applyFill="1" applyBorder="1" applyAlignment="1">
      <alignment horizontal="right" vertical="center"/>
    </xf>
    <xf numFmtId="4" fontId="77" fillId="35" borderId="2" xfId="47" applyNumberFormat="1" applyFont="1" applyFill="1" applyBorder="1" applyAlignment="1">
      <alignment horizontal="right" vertical="center"/>
    </xf>
    <xf numFmtId="10" fontId="77" fillId="35" borderId="2" xfId="47" applyNumberFormat="1" applyFont="1" applyFill="1" applyBorder="1" applyAlignment="1">
      <alignment horizontal="right" vertical="center"/>
    </xf>
    <xf numFmtId="9" fontId="77" fillId="35" borderId="2" xfId="47" applyNumberFormat="1" applyFont="1" applyFill="1" applyBorder="1" applyAlignment="1">
      <alignment horizontal="right" vertical="center"/>
    </xf>
    <xf numFmtId="0" fontId="70" fillId="0" borderId="0" xfId="47" applyFont="1" applyAlignment="1">
      <alignment horizontal="center"/>
    </xf>
    <xf numFmtId="165" fontId="76" fillId="0" borderId="0" xfId="49" applyFont="1"/>
    <xf numFmtId="0" fontId="71" fillId="0" borderId="4" xfId="47" applyFont="1" applyBorder="1"/>
    <xf numFmtId="0" fontId="70" fillId="0" borderId="4" xfId="47" applyFont="1" applyBorder="1" applyAlignment="1">
      <alignment horizontal="center"/>
    </xf>
    <xf numFmtId="44" fontId="71" fillId="0" borderId="0" xfId="51" applyFont="1"/>
    <xf numFmtId="44" fontId="70" fillId="0" borderId="4" xfId="51" applyFont="1" applyBorder="1"/>
    <xf numFmtId="0" fontId="57" fillId="0" borderId="0" xfId="40" applyFont="1" applyAlignment="1">
      <alignment horizontal="center"/>
    </xf>
    <xf numFmtId="0" fontId="14" fillId="25" borderId="0" xfId="40" applyFont="1" applyFill="1" applyAlignment="1">
      <alignment horizontal="center"/>
    </xf>
    <xf numFmtId="175" fontId="58" fillId="0" borderId="0" xfId="40" applyNumberFormat="1" applyFont="1" applyAlignment="1">
      <alignment horizontal="right" vertical="center"/>
    </xf>
    <xf numFmtId="0" fontId="57" fillId="0" borderId="0" xfId="39" applyFont="1" applyAlignment="1">
      <alignment horizontal="center"/>
    </xf>
    <xf numFmtId="44" fontId="57" fillId="0" borderId="0" xfId="41" applyFont="1" applyAlignment="1">
      <alignment horizontal="center"/>
    </xf>
    <xf numFmtId="0" fontId="14" fillId="25" borderId="0" xfId="39" applyFont="1" applyFill="1" applyAlignment="1">
      <alignment horizontal="center"/>
    </xf>
    <xf numFmtId="0" fontId="14" fillId="20" borderId="0" xfId="39" applyFont="1" applyFill="1" applyAlignment="1">
      <alignment horizontal="center"/>
    </xf>
    <xf numFmtId="175" fontId="58" fillId="0" borderId="0" xfId="39" applyNumberFormat="1" applyFont="1" applyAlignment="1">
      <alignment horizontal="right" vertical="center"/>
    </xf>
    <xf numFmtId="0" fontId="14" fillId="11" borderId="0" xfId="39" applyFont="1" applyFill="1" applyAlignment="1">
      <alignment horizontal="center"/>
    </xf>
    <xf numFmtId="0" fontId="56" fillId="31" borderId="21" xfId="39" applyFill="1" applyBorder="1" applyAlignment="1">
      <alignment horizontal="center"/>
    </xf>
    <xf numFmtId="0" fontId="56" fillId="31" borderId="23" xfId="39" applyFill="1" applyBorder="1" applyAlignment="1">
      <alignment horizontal="center"/>
    </xf>
    <xf numFmtId="0" fontId="59" fillId="0" borderId="0" xfId="43" applyAlignment="1">
      <alignment horizontal="center" vertical="center" wrapText="1"/>
    </xf>
    <xf numFmtId="0" fontId="66" fillId="0" borderId="0" xfId="43" applyFont="1" applyAlignment="1">
      <alignment horizontal="center" vertical="center" wrapText="1"/>
    </xf>
    <xf numFmtId="0" fontId="34" fillId="19" borderId="21" xfId="18" applyFont="1" applyFill="1" applyBorder="1" applyAlignment="1">
      <alignment horizontal="center" vertical="center"/>
    </xf>
    <xf numFmtId="0" fontId="34" fillId="19" borderId="22" xfId="18" applyFont="1" applyFill="1" applyBorder="1" applyAlignment="1">
      <alignment horizontal="center" vertical="center"/>
    </xf>
    <xf numFmtId="0" fontId="34" fillId="19" borderId="23" xfId="18" applyFont="1" applyFill="1" applyBorder="1" applyAlignment="1">
      <alignment horizontal="center" vertical="center"/>
    </xf>
    <xf numFmtId="0" fontId="34" fillId="19" borderId="7" xfId="18" applyFont="1" applyFill="1" applyBorder="1" applyAlignment="1">
      <alignment horizontal="center" vertical="center"/>
    </xf>
    <xf numFmtId="0" fontId="34" fillId="19" borderId="1" xfId="18" applyFont="1" applyFill="1" applyBorder="1" applyAlignment="1">
      <alignment horizontal="center" vertical="center"/>
    </xf>
    <xf numFmtId="0" fontId="34" fillId="19" borderId="8" xfId="18" applyFont="1" applyFill="1" applyBorder="1" applyAlignment="1">
      <alignment horizontal="center" vertical="center"/>
    </xf>
    <xf numFmtId="0" fontId="34" fillId="24" borderId="2" xfId="18" applyFont="1" applyFill="1" applyBorder="1" applyAlignment="1">
      <alignment horizontal="center"/>
    </xf>
    <xf numFmtId="0" fontId="34" fillId="0" borderId="2" xfId="18" applyFont="1" applyBorder="1" applyAlignment="1">
      <alignment horizontal="center"/>
    </xf>
    <xf numFmtId="0" fontId="34" fillId="19" borderId="2" xfId="18" applyFont="1" applyFill="1" applyBorder="1" applyAlignment="1">
      <alignment horizontal="center"/>
    </xf>
    <xf numFmtId="0" fontId="34" fillId="26" borderId="2" xfId="18" applyFont="1" applyFill="1" applyBorder="1" applyAlignment="1">
      <alignment horizontal="center"/>
    </xf>
    <xf numFmtId="0" fontId="34" fillId="0" borderId="0" xfId="18" applyFont="1" applyAlignment="1">
      <alignment horizontal="center"/>
    </xf>
    <xf numFmtId="0" fontId="34" fillId="24" borderId="0" xfId="18" applyFont="1" applyFill="1" applyAlignment="1">
      <alignment horizontal="center"/>
    </xf>
    <xf numFmtId="0" fontId="38" fillId="11" borderId="0" xfId="0" applyFont="1" applyFill="1" applyAlignment="1">
      <alignment horizontal="center"/>
    </xf>
    <xf numFmtId="0" fontId="39" fillId="11" borderId="1" xfId="4" applyFont="1" applyFill="1" applyBorder="1" applyAlignment="1">
      <alignment horizontal="center"/>
    </xf>
    <xf numFmtId="0" fontId="35" fillId="8" borderId="19" xfId="0" applyFont="1" applyFill="1" applyBorder="1" applyAlignment="1">
      <alignment horizontal="center"/>
    </xf>
    <xf numFmtId="0" fontId="35" fillId="8" borderId="20" xfId="0" applyFont="1" applyFill="1" applyBorder="1" applyAlignment="1">
      <alignment horizontal="center"/>
    </xf>
    <xf numFmtId="0" fontId="35" fillId="8" borderId="18" xfId="0" applyFont="1" applyFill="1" applyBorder="1" applyAlignment="1">
      <alignment horizontal="center"/>
    </xf>
    <xf numFmtId="0" fontId="31" fillId="9" borderId="21" xfId="0" applyFont="1" applyFill="1" applyBorder="1" applyAlignment="1">
      <alignment horizontal="center"/>
    </xf>
    <xf numFmtId="0" fontId="31" fillId="9" borderId="22" xfId="0" applyFont="1" applyFill="1" applyBorder="1" applyAlignment="1">
      <alignment horizontal="center"/>
    </xf>
    <xf numFmtId="0" fontId="31" fillId="9" borderId="23" xfId="0" applyFont="1" applyFill="1" applyBorder="1" applyAlignment="1">
      <alignment horizontal="center"/>
    </xf>
    <xf numFmtId="0" fontId="34" fillId="0" borderId="0" xfId="0" applyFont="1" applyAlignment="1">
      <alignment horizontal="left" vertical="top" wrapText="1"/>
    </xf>
    <xf numFmtId="0" fontId="34" fillId="0" borderId="0" xfId="0" applyFont="1" applyAlignment="1">
      <alignment horizontal="left" wrapText="1"/>
    </xf>
    <xf numFmtId="0" fontId="45" fillId="0" borderId="0" xfId="0" applyFont="1" applyAlignment="1">
      <alignment horizontal="center"/>
    </xf>
    <xf numFmtId="0" fontId="17" fillId="9" borderId="6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14" fillId="14" borderId="2" xfId="0" applyFont="1" applyFill="1" applyBorder="1" applyAlignment="1">
      <alignment horizontal="center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4" fillId="11" borderId="0" xfId="0" applyFont="1" applyFill="1" applyAlignment="1">
      <alignment horizontal="center"/>
    </xf>
    <xf numFmtId="0" fontId="72" fillId="23" borderId="7" xfId="47" applyFont="1" applyFill="1" applyBorder="1" applyAlignment="1">
      <alignment horizontal="center"/>
    </xf>
    <xf numFmtId="0" fontId="72" fillId="23" borderId="1" xfId="47" applyFont="1" applyFill="1" applyBorder="1" applyAlignment="1">
      <alignment horizontal="center"/>
    </xf>
    <xf numFmtId="0" fontId="70" fillId="36" borderId="1" xfId="47" applyFont="1" applyFill="1" applyBorder="1" applyAlignment="1">
      <alignment horizontal="center"/>
    </xf>
    <xf numFmtId="0" fontId="70" fillId="0" borderId="0" xfId="47" applyFont="1" applyAlignment="1">
      <alignment horizontal="center"/>
    </xf>
    <xf numFmtId="0" fontId="70" fillId="34" borderId="0" xfId="47" applyFont="1" applyFill="1" applyAlignment="1">
      <alignment horizontal="center" wrapText="1"/>
    </xf>
    <xf numFmtId="0" fontId="72" fillId="34" borderId="2" xfId="47" applyFont="1" applyFill="1" applyBorder="1" applyAlignment="1">
      <alignment horizontal="center"/>
    </xf>
    <xf numFmtId="0" fontId="72" fillId="11" borderId="0" xfId="47" applyFont="1" applyFill="1" applyAlignment="1">
      <alignment horizontal="center"/>
    </xf>
    <xf numFmtId="0" fontId="72" fillId="11" borderId="3" xfId="47" applyFont="1" applyFill="1" applyBorder="1" applyAlignment="1">
      <alignment horizontal="center"/>
    </xf>
    <xf numFmtId="0" fontId="72" fillId="11" borderId="4" xfId="47" applyFont="1" applyFill="1" applyBorder="1" applyAlignment="1">
      <alignment horizontal="center"/>
    </xf>
    <xf numFmtId="0" fontId="72" fillId="11" borderId="5" xfId="47" applyFont="1" applyFill="1" applyBorder="1" applyAlignment="1">
      <alignment horizontal="center"/>
    </xf>
    <xf numFmtId="0" fontId="70" fillId="23" borderId="0" xfId="47" applyFont="1" applyFill="1" applyAlignment="1">
      <alignment horizontal="center" wrapText="1"/>
    </xf>
    <xf numFmtId="0" fontId="72" fillId="23" borderId="3" xfId="47" applyFont="1" applyFill="1" applyBorder="1" applyAlignment="1">
      <alignment horizontal="center"/>
    </xf>
    <xf numFmtId="0" fontId="72" fillId="23" borderId="4" xfId="47" applyFont="1" applyFill="1" applyBorder="1" applyAlignment="1">
      <alignment horizontal="center"/>
    </xf>
    <xf numFmtId="0" fontId="72" fillId="23" borderId="5" xfId="47" applyFont="1" applyFill="1" applyBorder="1" applyAlignment="1">
      <alignment horizontal="center"/>
    </xf>
  </cellXfs>
  <cellStyles count="52">
    <cellStyle name="Comma" xfId="1" builtinId="3"/>
    <cellStyle name="Comma 2" xfId="13" xr:uid="{00000000-0005-0000-0000-000001000000}"/>
    <cellStyle name="Comma 2 2" xfId="34" xr:uid="{F5663FE3-61D4-483E-B1B1-2F9F8C187501}"/>
    <cellStyle name="Comma 2 3" xfId="44" xr:uid="{108DB6AC-BD67-4013-8A82-07BEAE41B7A5}"/>
    <cellStyle name="Comma 3" xfId="16" xr:uid="{00000000-0005-0000-0000-000002000000}"/>
    <cellStyle name="Comma 3 2" xfId="37" xr:uid="{AD35EEF8-0386-4F79-A3DE-D74FFCC40E8D}"/>
    <cellStyle name="Comma 4" xfId="22" xr:uid="{3D3AEF85-A6C2-4AE7-86D8-9AEE8920E51F}"/>
    <cellStyle name="Comma 5" xfId="49" xr:uid="{6A0D94BD-EBE0-4FA4-A805-2385D9EAB713}"/>
    <cellStyle name="Currency" xfId="2" builtinId="4"/>
    <cellStyle name="Currency 2" xfId="23" xr:uid="{E63AF594-91BD-47F5-AA9A-D5F906345CC4}"/>
    <cellStyle name="Currency 2 2" xfId="5" xr:uid="{00000000-0005-0000-0000-000004000000}"/>
    <cellStyle name="Currency 2 2 2" xfId="26" xr:uid="{29D3C75F-2A04-480D-9F70-278FA86AAFC2}"/>
    <cellStyle name="Currency 2 3" xfId="42" xr:uid="{B9BD2FC3-AF03-4A33-AC73-6F56031C3315}"/>
    <cellStyle name="Currency 3" xfId="41" xr:uid="{46E9DA71-0F58-4347-8FD4-F3911398E4F4}"/>
    <cellStyle name="Currency 4" xfId="51" xr:uid="{652EF30B-C910-431C-9652-EC9B8E1D1642}"/>
    <cellStyle name="Hyperlink 2" xfId="43" xr:uid="{3601489D-2152-4025-91E3-CFA19BE71377}"/>
    <cellStyle name="Millares 2" xfId="48" xr:uid="{FA58EA0F-1EEE-416B-B947-DDF3E8DFFBC4}"/>
    <cellStyle name="Moneda 2" xfId="8" xr:uid="{00000000-0005-0000-0000-000006000000}"/>
    <cellStyle name="Moneda 2 2" xfId="29" xr:uid="{DA199C03-3F4E-4688-8266-D35E44F6DD27}"/>
    <cellStyle name="Normal" xfId="0" builtinId="0"/>
    <cellStyle name="Normal 10" xfId="15" xr:uid="{00000000-0005-0000-0000-000008000000}"/>
    <cellStyle name="Normal 10 2" xfId="36" xr:uid="{9BF62AD7-E522-4CFC-82EF-6C7C29B381C3}"/>
    <cellStyle name="Normal 11" xfId="17" xr:uid="{00000000-0005-0000-0000-000009000000}"/>
    <cellStyle name="Normal 11 2" xfId="38" xr:uid="{25AB3ECC-F133-4CF0-B541-AE9997D948DB}"/>
    <cellStyle name="Normal 12" xfId="18" xr:uid="{EBF3E34C-909E-0347-B62F-2A059378D280}"/>
    <cellStyle name="Normal 13" xfId="39" xr:uid="{25DD7F1E-43C5-4C9B-BBBB-DB3F40B2BEA8}"/>
    <cellStyle name="Normal 14" xfId="47" xr:uid="{D5364C7D-2431-4378-B67B-272EFD3F2CDB}"/>
    <cellStyle name="Normal 2" xfId="4" xr:uid="{00000000-0005-0000-0000-00000A000000}"/>
    <cellStyle name="Normal 2 2" xfId="25" xr:uid="{89B560D6-BD3C-4556-8767-36147382D463}"/>
    <cellStyle name="Normal 2 3" xfId="40" xr:uid="{05BAAD82-888C-446E-A26B-4B41DF7EF568}"/>
    <cellStyle name="Normal 3" xfId="6" xr:uid="{00000000-0005-0000-0000-00000B000000}"/>
    <cellStyle name="Normal 3 2" xfId="27" xr:uid="{21CA53A2-EACB-4A15-B81F-68E9D17B0968}"/>
    <cellStyle name="Normal 4" xfId="7" xr:uid="{00000000-0005-0000-0000-00000C000000}"/>
    <cellStyle name="Normal 4 2" xfId="28" xr:uid="{54C0DED0-D7F3-416F-98C6-58CD575CD83B}"/>
    <cellStyle name="Normal 5" xfId="9" xr:uid="{00000000-0005-0000-0000-00000D000000}"/>
    <cellStyle name="Normal 5 2" xfId="30" xr:uid="{EB147A08-6161-4F90-8968-05B951A6860F}"/>
    <cellStyle name="Normal 6" xfId="10" xr:uid="{00000000-0005-0000-0000-00000E000000}"/>
    <cellStyle name="Normal 6 2" xfId="31" xr:uid="{3F93041D-41CC-4169-9C69-C295DFD42A70}"/>
    <cellStyle name="Normal 7" xfId="11" xr:uid="{00000000-0005-0000-0000-00000F000000}"/>
    <cellStyle name="Normal 7 2" xfId="32" xr:uid="{D2438472-C773-4A52-9B55-12E44B7F3262}"/>
    <cellStyle name="Normal 8" xfId="12" xr:uid="{00000000-0005-0000-0000-000010000000}"/>
    <cellStyle name="Normal 8 2" xfId="33" xr:uid="{EC6F7093-5900-4DA3-B142-EA27896E4CA9}"/>
    <cellStyle name="Normal 9" xfId="14" xr:uid="{00000000-0005-0000-0000-000011000000}"/>
    <cellStyle name="Normal 9 2" xfId="35" xr:uid="{7075097A-E412-4CF2-A2E5-54BAA6A09773}"/>
    <cellStyle name="Normal_ISPT ART 80 FETASA2000" xfId="20" xr:uid="{3D9A55A8-F901-44CB-8E50-7B416D754E13}"/>
    <cellStyle name="Percent" xfId="3" builtinId="5"/>
    <cellStyle name="Percent 2" xfId="19" xr:uid="{9EEC1DBB-2BD5-1C43-BA25-0C1324FFE30F}"/>
    <cellStyle name="Percent 2 2" xfId="46" xr:uid="{1A4DF662-978F-493D-A78D-30D46D9A0E35}"/>
    <cellStyle name="Percent 3" xfId="24" xr:uid="{5E27B204-2A5C-4A68-BC5A-EE9B8070E005}"/>
    <cellStyle name="Percent 4" xfId="45" xr:uid="{8C5A765A-2325-4283-8B4C-C212506AEF74}"/>
    <cellStyle name="Porcentaje 2" xfId="21" xr:uid="{E0A1B689-8C50-4795-902E-DAED915A20F4}"/>
    <cellStyle name="Porcentaje 2 2" xfId="50" xr:uid="{D83F289E-C22E-4FFD-9BB7-2146F35C6D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zoomScaleNormal="100" workbookViewId="0">
      <selection activeCell="C30" sqref="C30"/>
    </sheetView>
  </sheetViews>
  <sheetFormatPr defaultColWidth="8.7109375" defaultRowHeight="12.75" x14ac:dyDescent="0.2"/>
  <cols>
    <col min="1" max="1" width="58.42578125" style="56" customWidth="1"/>
    <col min="2" max="2" width="13.28515625" bestFit="1" customWidth="1"/>
  </cols>
  <sheetData>
    <row r="1" spans="1:4" ht="13.5" thickBot="1" x14ac:dyDescent="0.25"/>
    <row r="2" spans="1:4" ht="15.75" thickBot="1" x14ac:dyDescent="0.25">
      <c r="A2" s="57" t="s">
        <v>190</v>
      </c>
      <c r="B2" s="48" t="s">
        <v>192</v>
      </c>
      <c r="D2" s="50"/>
    </row>
    <row r="3" spans="1:4" ht="15.75" thickBot="1" x14ac:dyDescent="0.25">
      <c r="A3" s="58"/>
      <c r="B3" s="49">
        <v>0.52778999999999998</v>
      </c>
      <c r="C3" s="6"/>
    </row>
    <row r="4" spans="1:4" ht="15.75" thickBot="1" x14ac:dyDescent="0.25">
      <c r="A4" s="58"/>
      <c r="B4" s="49">
        <v>0.68559000000000003</v>
      </c>
      <c r="C4" s="6">
        <v>0.69559000000000004</v>
      </c>
    </row>
    <row r="5" spans="1:4" ht="15.75" thickBot="1" x14ac:dyDescent="0.25">
      <c r="A5" s="58"/>
      <c r="B5" s="49">
        <v>0.5</v>
      </c>
      <c r="C5" s="6"/>
    </row>
    <row r="6" spans="1:4" ht="15.75" thickBot="1" x14ac:dyDescent="0.25">
      <c r="A6" s="58"/>
      <c r="B6" s="49">
        <v>0.5</v>
      </c>
      <c r="C6" s="6"/>
    </row>
    <row r="7" spans="1:4" ht="15.75" thickBot="1" x14ac:dyDescent="0.25">
      <c r="A7" s="58"/>
      <c r="B7" s="49">
        <v>0.89383999999999997</v>
      </c>
      <c r="C7" s="6"/>
    </row>
    <row r="8" spans="1:4" ht="15.75" thickBot="1" x14ac:dyDescent="0.25">
      <c r="A8" s="58"/>
      <c r="B8" s="49">
        <v>0.5</v>
      </c>
      <c r="C8" s="6"/>
    </row>
    <row r="9" spans="1:4" ht="15.75" thickBot="1" x14ac:dyDescent="0.25">
      <c r="A9" s="58"/>
      <c r="B9" s="49">
        <v>2.5036399999999999</v>
      </c>
      <c r="C9" s="6"/>
    </row>
    <row r="10" spans="1:4" ht="15.75" thickBot="1" x14ac:dyDescent="0.25">
      <c r="A10" s="58"/>
      <c r="B10" s="49">
        <v>0.5</v>
      </c>
      <c r="C10" s="6"/>
    </row>
    <row r="11" spans="1:4" ht="15.75" thickBot="1" x14ac:dyDescent="0.25">
      <c r="A11" s="58"/>
      <c r="B11" s="49">
        <v>0.5</v>
      </c>
      <c r="C11" s="6"/>
    </row>
    <row r="12" spans="1:4" ht="15.75" thickBot="1" x14ac:dyDescent="0.25">
      <c r="A12" s="58"/>
      <c r="B12" s="49">
        <v>0.56122000000000005</v>
      </c>
      <c r="C12" s="6"/>
    </row>
    <row r="13" spans="1:4" ht="15.75" thickBot="1" x14ac:dyDescent="0.25">
      <c r="A13" s="58"/>
      <c r="B13" s="49">
        <v>0.98019999999999996</v>
      </c>
      <c r="C13" s="6">
        <v>0.99019999999999997</v>
      </c>
    </row>
    <row r="14" spans="1:4" ht="15.75" thickBot="1" x14ac:dyDescent="0.25">
      <c r="A14" s="58"/>
      <c r="B14" s="49">
        <v>0.78573000000000004</v>
      </c>
      <c r="C14" s="6"/>
    </row>
    <row r="15" spans="1:4" ht="15.75" thickBot="1" x14ac:dyDescent="0.25">
      <c r="A15" s="58"/>
      <c r="B15" s="49">
        <v>0.62370999999999999</v>
      </c>
      <c r="C15" s="6">
        <v>0.63371</v>
      </c>
    </row>
    <row r="16" spans="1:4" ht="15.75" thickBot="1" x14ac:dyDescent="0.25">
      <c r="A16" s="58"/>
      <c r="B16" s="49">
        <v>4.6532499999999999</v>
      </c>
      <c r="C16" s="6"/>
    </row>
    <row r="17" spans="1:3" ht="15.75" thickBot="1" x14ac:dyDescent="0.25">
      <c r="A17" s="58"/>
      <c r="B17" s="49">
        <v>0.52795000000000003</v>
      </c>
      <c r="C17" s="6"/>
    </row>
    <row r="18" spans="1:3" ht="15.75" thickBot="1" x14ac:dyDescent="0.25">
      <c r="A18" s="58"/>
      <c r="B18" s="49">
        <v>2.0753400000000002</v>
      </c>
      <c r="C18" s="6"/>
    </row>
    <row r="19" spans="1:3" x14ac:dyDescent="0.2">
      <c r="C19" s="6"/>
    </row>
    <row r="20" spans="1:3" ht="15.75" thickBot="1" x14ac:dyDescent="0.25">
      <c r="A20" s="58"/>
      <c r="B20" s="49">
        <v>4.6532499999999999</v>
      </c>
      <c r="C2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8CA2-6147-7C49-8A77-D131FF2733E3}">
  <dimension ref="A2:Z42"/>
  <sheetViews>
    <sheetView showGridLines="0" zoomScaleNormal="100" workbookViewId="0">
      <selection activeCell="M27" sqref="M27"/>
    </sheetView>
  </sheetViews>
  <sheetFormatPr defaultColWidth="10" defaultRowHeight="11.25" x14ac:dyDescent="0.2"/>
  <cols>
    <col min="1" max="1" width="15.7109375" style="252" bestFit="1" customWidth="1"/>
    <col min="2" max="2" width="10" style="252" bestFit="1" customWidth="1"/>
    <col min="3" max="3" width="10.42578125" style="252" bestFit="1" customWidth="1"/>
    <col min="4" max="4" width="8.85546875" style="252" bestFit="1" customWidth="1"/>
    <col min="5" max="7" width="8.85546875" style="289" customWidth="1"/>
    <col min="8" max="8" width="15.7109375" style="252" bestFit="1" customWidth="1"/>
    <col min="9" max="9" width="10" style="252" bestFit="1" customWidth="1"/>
    <col min="10" max="10" width="10.42578125" style="252" bestFit="1" customWidth="1"/>
    <col min="11" max="11" width="8.85546875" style="252" customWidth="1"/>
    <col min="12" max="12" width="5.42578125" style="252" customWidth="1"/>
    <col min="13" max="13" width="15.7109375" style="279" bestFit="1" customWidth="1"/>
    <col min="14" max="14" width="10" style="279" bestFit="1" customWidth="1"/>
    <col min="15" max="15" width="10.42578125" style="279" bestFit="1" customWidth="1"/>
    <col min="16" max="16" width="8.85546875" style="279" bestFit="1" customWidth="1"/>
    <col min="17" max="17" width="5.28515625" style="252" customWidth="1"/>
    <col min="18" max="18" width="15.7109375" style="252" bestFit="1" customWidth="1"/>
    <col min="19" max="19" width="10" style="252" bestFit="1" customWidth="1"/>
    <col min="20" max="20" width="10.42578125" style="252" customWidth="1"/>
    <col min="21" max="21" width="8.85546875" style="252" bestFit="1" customWidth="1"/>
    <col min="22" max="22" width="4.7109375" style="252" customWidth="1"/>
    <col min="23" max="23" width="15.7109375" style="252" bestFit="1" customWidth="1"/>
    <col min="24" max="24" width="10" style="252" bestFit="1" customWidth="1"/>
    <col min="25" max="25" width="10.42578125" style="252" bestFit="1" customWidth="1"/>
    <col min="26" max="26" width="8.85546875" style="252" bestFit="1" customWidth="1"/>
    <col min="27" max="16384" width="10" style="252"/>
  </cols>
  <sheetData>
    <row r="2" spans="1:26" x14ac:dyDescent="0.2">
      <c r="O2" s="506" t="s">
        <v>193</v>
      </c>
      <c r="P2" s="506"/>
      <c r="Q2" s="506"/>
    </row>
    <row r="3" spans="1:26" x14ac:dyDescent="0.2">
      <c r="A3" s="496" t="s">
        <v>194</v>
      </c>
      <c r="B3" s="497"/>
      <c r="C3" s="497"/>
      <c r="D3" s="498"/>
      <c r="E3" s="290"/>
      <c r="F3" s="290"/>
      <c r="G3" s="290"/>
      <c r="H3" s="505" t="s">
        <v>195</v>
      </c>
      <c r="I3" s="505"/>
      <c r="J3" s="505"/>
      <c r="K3" s="505"/>
      <c r="M3" s="502" t="s">
        <v>195</v>
      </c>
      <c r="N3" s="502"/>
      <c r="O3" s="502"/>
      <c r="P3" s="502"/>
      <c r="R3" s="503" t="s">
        <v>196</v>
      </c>
      <c r="S3" s="503"/>
      <c r="T3" s="503"/>
      <c r="U3" s="503"/>
      <c r="W3" s="503" t="s">
        <v>197</v>
      </c>
      <c r="X3" s="503"/>
      <c r="Y3" s="503"/>
      <c r="Z3" s="503"/>
    </row>
    <row r="4" spans="1:26" x14ac:dyDescent="0.2">
      <c r="A4" s="499"/>
      <c r="B4" s="500"/>
      <c r="C4" s="500"/>
      <c r="D4" s="501"/>
      <c r="E4" s="290"/>
      <c r="F4" s="290"/>
      <c r="G4" s="290"/>
      <c r="H4" s="504" t="s">
        <v>198</v>
      </c>
      <c r="I4" s="504"/>
      <c r="J4" s="504"/>
      <c r="K4" s="504"/>
      <c r="L4" s="253"/>
      <c r="M4" s="502" t="s">
        <v>198</v>
      </c>
      <c r="N4" s="502"/>
      <c r="O4" s="502"/>
      <c r="P4" s="502"/>
      <c r="Q4" s="253"/>
      <c r="R4" s="504" t="s">
        <v>199</v>
      </c>
      <c r="S4" s="504"/>
      <c r="T4" s="504"/>
      <c r="U4" s="504"/>
      <c r="V4" s="253"/>
      <c r="W4" s="504" t="s">
        <v>200</v>
      </c>
      <c r="X4" s="504"/>
      <c r="Y4" s="504"/>
      <c r="Z4" s="504"/>
    </row>
    <row r="5" spans="1:26" x14ac:dyDescent="0.2">
      <c r="A5" s="254" t="s">
        <v>201</v>
      </c>
      <c r="B5" s="254" t="s">
        <v>28</v>
      </c>
      <c r="C5" s="254" t="s">
        <v>202</v>
      </c>
      <c r="D5" s="254" t="s">
        <v>30</v>
      </c>
      <c r="E5" s="291"/>
      <c r="F5" s="291"/>
      <c r="G5" s="291"/>
      <c r="H5" s="254" t="s">
        <v>201</v>
      </c>
      <c r="I5" s="254" t="s">
        <v>28</v>
      </c>
      <c r="J5" s="254" t="s">
        <v>202</v>
      </c>
      <c r="K5" s="254" t="s">
        <v>30</v>
      </c>
      <c r="L5" s="253"/>
      <c r="M5" s="280" t="s">
        <v>201</v>
      </c>
      <c r="N5" s="280" t="s">
        <v>28</v>
      </c>
      <c r="O5" s="280" t="s">
        <v>202</v>
      </c>
      <c r="P5" s="280" t="s">
        <v>30</v>
      </c>
      <c r="Q5" s="253"/>
      <c r="R5" s="254" t="s">
        <v>201</v>
      </c>
      <c r="S5" s="254" t="s">
        <v>28</v>
      </c>
      <c r="T5" s="254" t="s">
        <v>202</v>
      </c>
      <c r="U5" s="254" t="s">
        <v>30</v>
      </c>
      <c r="V5" s="253"/>
      <c r="W5" s="254" t="s">
        <v>201</v>
      </c>
      <c r="X5" s="254" t="s">
        <v>28</v>
      </c>
      <c r="Y5" s="254" t="s">
        <v>202</v>
      </c>
      <c r="Z5" s="254" t="s">
        <v>30</v>
      </c>
    </row>
    <row r="6" spans="1:26" x14ac:dyDescent="0.2">
      <c r="A6" s="255">
        <v>1</v>
      </c>
      <c r="B6" s="255">
        <v>12</v>
      </c>
      <c r="C6" s="256">
        <v>0.25</v>
      </c>
      <c r="D6" s="255">
        <v>15</v>
      </c>
      <c r="E6" s="292"/>
      <c r="F6" s="292"/>
      <c r="G6" s="292"/>
      <c r="H6" s="255">
        <v>1</v>
      </c>
      <c r="I6" s="255">
        <v>12</v>
      </c>
      <c r="J6" s="256">
        <v>0.3</v>
      </c>
      <c r="K6" s="255">
        <v>17</v>
      </c>
      <c r="M6" s="281">
        <v>1</v>
      </c>
      <c r="N6" s="281">
        <v>8</v>
      </c>
      <c r="O6" s="282">
        <v>0.3</v>
      </c>
      <c r="P6" s="281">
        <v>17</v>
      </c>
      <c r="R6" s="255">
        <v>1</v>
      </c>
      <c r="S6" s="255">
        <v>10</v>
      </c>
      <c r="T6" s="256">
        <v>0.35</v>
      </c>
      <c r="U6" s="255">
        <v>18</v>
      </c>
      <c r="W6" s="257">
        <v>1</v>
      </c>
      <c r="X6" s="257">
        <v>12</v>
      </c>
      <c r="Y6" s="258">
        <v>0.35</v>
      </c>
      <c r="Z6" s="257">
        <v>20</v>
      </c>
    </row>
    <row r="7" spans="1:26" x14ac:dyDescent="0.2">
      <c r="A7" s="295">
        <v>2</v>
      </c>
      <c r="B7" s="295">
        <v>14</v>
      </c>
      <c r="C7" s="296">
        <v>0.25</v>
      </c>
      <c r="D7" s="295">
        <v>15</v>
      </c>
      <c r="E7" s="292"/>
      <c r="F7" s="292"/>
      <c r="G7" s="292"/>
      <c r="H7" s="255">
        <v>2</v>
      </c>
      <c r="I7" s="255">
        <v>14</v>
      </c>
      <c r="J7" s="256">
        <v>0.3</v>
      </c>
      <c r="K7" s="255">
        <v>17</v>
      </c>
      <c r="M7" s="281">
        <v>2</v>
      </c>
      <c r="N7" s="281">
        <v>10</v>
      </c>
      <c r="O7" s="282">
        <v>0.3</v>
      </c>
      <c r="P7" s="281">
        <v>17</v>
      </c>
      <c r="R7" s="255">
        <v>2</v>
      </c>
      <c r="S7" s="255">
        <v>12</v>
      </c>
      <c r="T7" s="256">
        <v>0.35</v>
      </c>
      <c r="U7" s="255">
        <v>18</v>
      </c>
      <c r="W7" s="257">
        <v>2</v>
      </c>
      <c r="X7" s="257">
        <v>14</v>
      </c>
      <c r="Y7" s="258">
        <v>0.35</v>
      </c>
      <c r="Z7" s="257">
        <v>20</v>
      </c>
    </row>
    <row r="8" spans="1:26" x14ac:dyDescent="0.2">
      <c r="A8" s="255">
        <v>3</v>
      </c>
      <c r="B8" s="255">
        <v>16</v>
      </c>
      <c r="C8" s="256">
        <v>0.25</v>
      </c>
      <c r="D8" s="255">
        <v>15</v>
      </c>
      <c r="E8" s="292"/>
      <c r="F8" s="292"/>
      <c r="G8" s="292"/>
      <c r="H8" s="255">
        <v>3</v>
      </c>
      <c r="I8" s="255">
        <v>16</v>
      </c>
      <c r="J8" s="256">
        <v>0.3</v>
      </c>
      <c r="K8" s="255">
        <v>17</v>
      </c>
      <c r="M8" s="281">
        <v>3</v>
      </c>
      <c r="N8" s="281">
        <v>12</v>
      </c>
      <c r="O8" s="282">
        <v>0.3</v>
      </c>
      <c r="P8" s="281">
        <v>17</v>
      </c>
      <c r="R8" s="255">
        <v>3</v>
      </c>
      <c r="S8" s="255">
        <v>14</v>
      </c>
      <c r="T8" s="256">
        <v>0.35</v>
      </c>
      <c r="U8" s="255">
        <v>18</v>
      </c>
      <c r="W8" s="257">
        <v>3</v>
      </c>
      <c r="X8" s="257">
        <v>16</v>
      </c>
      <c r="Y8" s="258">
        <v>0.35</v>
      </c>
      <c r="Z8" s="257">
        <v>20</v>
      </c>
    </row>
    <row r="9" spans="1:26" x14ac:dyDescent="0.2">
      <c r="A9" s="255">
        <v>4</v>
      </c>
      <c r="B9" s="255">
        <v>18</v>
      </c>
      <c r="C9" s="256">
        <v>0.25</v>
      </c>
      <c r="D9" s="255">
        <v>15</v>
      </c>
      <c r="E9" s="292"/>
      <c r="F9" s="292"/>
      <c r="G9" s="292"/>
      <c r="H9" s="255">
        <v>4</v>
      </c>
      <c r="I9" s="255">
        <v>18</v>
      </c>
      <c r="J9" s="256">
        <v>0.3</v>
      </c>
      <c r="K9" s="255">
        <v>17</v>
      </c>
      <c r="M9" s="281">
        <v>4</v>
      </c>
      <c r="N9" s="281">
        <v>14</v>
      </c>
      <c r="O9" s="282">
        <v>0.3</v>
      </c>
      <c r="P9" s="281">
        <v>17</v>
      </c>
      <c r="R9" s="255">
        <v>4</v>
      </c>
      <c r="S9" s="255">
        <v>16</v>
      </c>
      <c r="T9" s="256">
        <v>0.35</v>
      </c>
      <c r="U9" s="255">
        <v>18</v>
      </c>
      <c r="W9" s="257">
        <v>4</v>
      </c>
      <c r="X9" s="257">
        <v>18</v>
      </c>
      <c r="Y9" s="258">
        <v>0.35</v>
      </c>
      <c r="Z9" s="257">
        <v>20</v>
      </c>
    </row>
    <row r="10" spans="1:26" x14ac:dyDescent="0.2">
      <c r="A10" s="255">
        <v>5</v>
      </c>
      <c r="B10" s="255">
        <v>20</v>
      </c>
      <c r="C10" s="256">
        <v>0.25</v>
      </c>
      <c r="D10" s="255">
        <v>15</v>
      </c>
      <c r="E10" s="292"/>
      <c r="F10" s="292"/>
      <c r="G10" s="292"/>
      <c r="H10" s="255">
        <v>5</v>
      </c>
      <c r="I10" s="255">
        <v>20</v>
      </c>
      <c r="J10" s="256">
        <v>0.3</v>
      </c>
      <c r="K10" s="255">
        <v>17</v>
      </c>
      <c r="M10" s="281">
        <v>5</v>
      </c>
      <c r="N10" s="281">
        <v>16</v>
      </c>
      <c r="O10" s="282">
        <v>0.3</v>
      </c>
      <c r="P10" s="281">
        <v>17</v>
      </c>
      <c r="R10" s="255">
        <v>5</v>
      </c>
      <c r="S10" s="255">
        <v>18</v>
      </c>
      <c r="T10" s="256">
        <v>0.35</v>
      </c>
      <c r="U10" s="255">
        <v>18</v>
      </c>
      <c r="W10" s="257">
        <v>5</v>
      </c>
      <c r="X10" s="257">
        <v>20</v>
      </c>
      <c r="Y10" s="258">
        <v>0.35</v>
      </c>
      <c r="Z10" s="257">
        <v>20</v>
      </c>
    </row>
    <row r="11" spans="1:26" x14ac:dyDescent="0.2">
      <c r="A11" s="255">
        <v>10</v>
      </c>
      <c r="B11" s="255">
        <v>22</v>
      </c>
      <c r="C11" s="256">
        <v>0.25</v>
      </c>
      <c r="D11" s="255">
        <v>15</v>
      </c>
      <c r="E11" s="292"/>
      <c r="F11" s="292"/>
      <c r="G11" s="292"/>
      <c r="H11" s="255">
        <v>10</v>
      </c>
      <c r="I11" s="255">
        <v>22</v>
      </c>
      <c r="J11" s="256">
        <v>0.3</v>
      </c>
      <c r="K11" s="255">
        <v>17</v>
      </c>
      <c r="M11" s="281">
        <v>10</v>
      </c>
      <c r="N11" s="281">
        <v>18</v>
      </c>
      <c r="O11" s="282">
        <v>0.3</v>
      </c>
      <c r="P11" s="281">
        <v>17</v>
      </c>
      <c r="R11" s="255">
        <v>10</v>
      </c>
      <c r="S11" s="255">
        <v>20</v>
      </c>
      <c r="T11" s="256">
        <v>0.35</v>
      </c>
      <c r="U11" s="255">
        <v>18</v>
      </c>
      <c r="W11" s="257">
        <v>10</v>
      </c>
      <c r="X11" s="257">
        <v>22</v>
      </c>
      <c r="Y11" s="258">
        <v>0.35</v>
      </c>
      <c r="Z11" s="257">
        <v>20</v>
      </c>
    </row>
    <row r="12" spans="1:26" x14ac:dyDescent="0.2">
      <c r="A12" s="255">
        <v>15</v>
      </c>
      <c r="B12" s="255">
        <v>24</v>
      </c>
      <c r="C12" s="256">
        <v>0.25</v>
      </c>
      <c r="D12" s="255">
        <v>15</v>
      </c>
      <c r="E12" s="292"/>
      <c r="F12" s="292"/>
      <c r="G12" s="292"/>
      <c r="H12" s="255">
        <v>15</v>
      </c>
      <c r="I12" s="255">
        <v>24</v>
      </c>
      <c r="J12" s="256">
        <v>0.3</v>
      </c>
      <c r="K12" s="255">
        <v>17</v>
      </c>
      <c r="M12" s="281">
        <v>15</v>
      </c>
      <c r="N12" s="281">
        <v>20</v>
      </c>
      <c r="O12" s="282">
        <v>0.3</v>
      </c>
      <c r="P12" s="281">
        <v>17</v>
      </c>
      <c r="R12" s="255">
        <v>15</v>
      </c>
      <c r="S12" s="255">
        <v>22</v>
      </c>
      <c r="T12" s="256">
        <v>0.35</v>
      </c>
      <c r="U12" s="255">
        <v>18</v>
      </c>
      <c r="W12" s="257">
        <v>15</v>
      </c>
      <c r="X12" s="257">
        <v>22</v>
      </c>
      <c r="Y12" s="258">
        <v>0.35</v>
      </c>
      <c r="Z12" s="257">
        <v>20</v>
      </c>
    </row>
    <row r="13" spans="1:26" x14ac:dyDescent="0.2">
      <c r="A13" s="255">
        <v>20</v>
      </c>
      <c r="B13" s="255">
        <v>26</v>
      </c>
      <c r="C13" s="256">
        <v>0.25</v>
      </c>
      <c r="D13" s="255">
        <v>15</v>
      </c>
      <c r="E13" s="292"/>
      <c r="F13" s="292"/>
      <c r="G13" s="292"/>
      <c r="H13" s="255">
        <v>20</v>
      </c>
      <c r="I13" s="255">
        <v>26</v>
      </c>
      <c r="J13" s="256">
        <v>0.3</v>
      </c>
      <c r="K13" s="255">
        <v>17</v>
      </c>
      <c r="M13" s="281">
        <v>20</v>
      </c>
      <c r="N13" s="281">
        <v>22</v>
      </c>
      <c r="O13" s="282">
        <v>0.3</v>
      </c>
      <c r="P13" s="281">
        <v>17</v>
      </c>
      <c r="R13" s="255">
        <v>20</v>
      </c>
      <c r="S13" s="255">
        <v>22</v>
      </c>
      <c r="T13" s="256">
        <v>0.35</v>
      </c>
      <c r="U13" s="255">
        <v>18</v>
      </c>
      <c r="W13" s="257">
        <v>20</v>
      </c>
      <c r="X13" s="257">
        <v>22</v>
      </c>
      <c r="Y13" s="258">
        <v>0.35</v>
      </c>
      <c r="Z13" s="257">
        <v>20</v>
      </c>
    </row>
    <row r="14" spans="1:26" x14ac:dyDescent="0.2">
      <c r="A14" s="255">
        <v>25</v>
      </c>
      <c r="B14" s="255">
        <v>28</v>
      </c>
      <c r="C14" s="256">
        <v>0.25</v>
      </c>
      <c r="D14" s="255">
        <v>15</v>
      </c>
      <c r="E14" s="292"/>
      <c r="F14" s="292"/>
      <c r="G14" s="292"/>
      <c r="H14" s="255">
        <v>25</v>
      </c>
      <c r="I14" s="255">
        <v>28</v>
      </c>
      <c r="J14" s="256">
        <v>0.3</v>
      </c>
      <c r="K14" s="255">
        <v>17</v>
      </c>
      <c r="M14" s="281">
        <v>25</v>
      </c>
      <c r="N14" s="281">
        <v>22</v>
      </c>
      <c r="O14" s="282">
        <v>0.3</v>
      </c>
      <c r="P14" s="281">
        <v>17</v>
      </c>
      <c r="R14" s="255">
        <v>25</v>
      </c>
      <c r="S14" s="255">
        <v>22</v>
      </c>
      <c r="T14" s="256">
        <v>0.35</v>
      </c>
      <c r="U14" s="255">
        <v>18</v>
      </c>
      <c r="W14" s="257">
        <v>25</v>
      </c>
      <c r="X14" s="257">
        <v>22</v>
      </c>
      <c r="Y14" s="258">
        <v>0.35</v>
      </c>
      <c r="Z14" s="257">
        <v>20</v>
      </c>
    </row>
    <row r="15" spans="1:26" x14ac:dyDescent="0.2">
      <c r="A15" s="255">
        <v>30</v>
      </c>
      <c r="B15" s="255">
        <v>30</v>
      </c>
      <c r="C15" s="256">
        <v>0.25</v>
      </c>
      <c r="D15" s="255">
        <v>15</v>
      </c>
      <c r="E15" s="292"/>
      <c r="F15" s="292"/>
      <c r="G15" s="292"/>
      <c r="H15" s="255">
        <v>30</v>
      </c>
      <c r="I15" s="255">
        <v>30</v>
      </c>
      <c r="J15" s="256">
        <v>0.3</v>
      </c>
      <c r="K15" s="255">
        <v>17</v>
      </c>
      <c r="M15" s="283"/>
      <c r="N15" s="283"/>
      <c r="O15" s="284"/>
      <c r="P15" s="283"/>
      <c r="R15" s="270"/>
      <c r="S15" s="270"/>
      <c r="T15" s="271"/>
      <c r="U15" s="270"/>
      <c r="Y15" s="272"/>
    </row>
    <row r="16" spans="1:26" x14ac:dyDescent="0.2">
      <c r="A16" s="255">
        <v>35</v>
      </c>
      <c r="B16" s="255">
        <v>32</v>
      </c>
      <c r="C16" s="256">
        <v>0.25</v>
      </c>
      <c r="D16" s="255">
        <v>15</v>
      </c>
      <c r="E16" s="292"/>
      <c r="F16" s="292"/>
      <c r="G16" s="292"/>
      <c r="H16" s="255">
        <v>35</v>
      </c>
      <c r="I16" s="255">
        <v>32</v>
      </c>
      <c r="J16" s="256">
        <v>0.3</v>
      </c>
      <c r="K16" s="255">
        <v>17</v>
      </c>
      <c r="M16" s="283"/>
      <c r="N16" s="283"/>
      <c r="O16" s="284"/>
      <c r="P16" s="283"/>
      <c r="R16" s="270"/>
      <c r="S16" s="270"/>
      <c r="T16" s="271"/>
      <c r="U16" s="270"/>
      <c r="Y16" s="272"/>
    </row>
    <row r="17" spans="1:26" x14ac:dyDescent="0.2">
      <c r="A17" s="270"/>
      <c r="B17" s="270"/>
      <c r="C17" s="271"/>
      <c r="D17" s="270"/>
      <c r="E17" s="292"/>
      <c r="F17" s="292"/>
      <c r="G17" s="292"/>
      <c r="H17" s="270"/>
      <c r="I17" s="270"/>
      <c r="J17" s="271"/>
      <c r="K17" s="270"/>
      <c r="M17" s="283"/>
      <c r="N17" s="283"/>
      <c r="O17" s="284"/>
      <c r="P17" s="283"/>
      <c r="R17" s="270"/>
      <c r="S17" s="270"/>
      <c r="T17" s="271"/>
      <c r="U17" s="270"/>
      <c r="Y17" s="272"/>
    </row>
    <row r="18" spans="1:26" x14ac:dyDescent="0.2">
      <c r="C18" s="259"/>
      <c r="J18" s="259"/>
      <c r="O18" s="285"/>
      <c r="T18" s="259"/>
      <c r="Y18" s="259"/>
    </row>
    <row r="19" spans="1:26" s="260" customFormat="1" x14ac:dyDescent="0.2">
      <c r="A19" s="260" t="s">
        <v>203</v>
      </c>
      <c r="C19" s="261"/>
      <c r="E19" s="289"/>
      <c r="F19" s="289"/>
      <c r="G19" s="289"/>
      <c r="H19" s="260" t="s">
        <v>203</v>
      </c>
      <c r="J19" s="261"/>
      <c r="L19" s="252"/>
      <c r="M19" s="279" t="s">
        <v>203</v>
      </c>
      <c r="N19" s="279"/>
      <c r="O19" s="285"/>
      <c r="P19" s="279"/>
      <c r="R19" s="260" t="s">
        <v>203</v>
      </c>
      <c r="T19" s="261"/>
      <c r="W19" s="260" t="s">
        <v>203</v>
      </c>
      <c r="Y19" s="261"/>
    </row>
    <row r="20" spans="1:26" x14ac:dyDescent="0.2">
      <c r="C20" s="262">
        <v>365</v>
      </c>
      <c r="J20" s="262">
        <v>365</v>
      </c>
      <c r="O20" s="286">
        <v>365</v>
      </c>
      <c r="S20" s="263"/>
      <c r="T20" s="262">
        <v>365</v>
      </c>
      <c r="X20" s="263"/>
      <c r="Y20" s="262">
        <v>365</v>
      </c>
    </row>
    <row r="21" spans="1:26" ht="13.35" customHeight="1" x14ac:dyDescent="0.2">
      <c r="A21" s="255">
        <v>1</v>
      </c>
      <c r="B21" s="257">
        <f>+(B6*C6)+D6+365</f>
        <v>383</v>
      </c>
      <c r="C21" s="277">
        <f>+B21/$C$20</f>
        <v>1.0493150684931507</v>
      </c>
      <c r="D21" s="252">
        <v>313</v>
      </c>
      <c r="E21" s="289">
        <f>+C21*D21</f>
        <v>328.43561643835619</v>
      </c>
      <c r="F21" s="289">
        <v>82.8</v>
      </c>
      <c r="G21" s="289">
        <f>+E21+F21</f>
        <v>411.2356164383562</v>
      </c>
      <c r="H21" s="255">
        <v>1</v>
      </c>
      <c r="I21" s="257">
        <f>+(I6*J6)+K6+365</f>
        <v>385.6</v>
      </c>
      <c r="J21" s="277">
        <f>+I21/$C$20</f>
        <v>1.0564383561643835</v>
      </c>
      <c r="M21" s="281">
        <v>1</v>
      </c>
      <c r="N21" s="287">
        <f>+(N6*O6)+P6+365</f>
        <v>384.4</v>
      </c>
      <c r="O21" s="288">
        <f>+N21/$O$20</f>
        <v>1.0531506849315069</v>
      </c>
      <c r="P21" s="279">
        <v>313</v>
      </c>
      <c r="Q21" s="252">
        <f>+O21*P21+82.8</f>
        <v>412.43616438356167</v>
      </c>
      <c r="R21" s="255">
        <v>1</v>
      </c>
      <c r="S21" s="257">
        <f t="shared" ref="S21:S29" si="0">+(S6*T6)+U6+365</f>
        <v>386.5</v>
      </c>
      <c r="T21" s="264">
        <f>+S21/$T$20</f>
        <v>1.058904109589041</v>
      </c>
      <c r="W21" s="255">
        <v>1</v>
      </c>
      <c r="X21" s="257">
        <f t="shared" ref="X21:X29" si="1">+(X6*Y6)+Z6+365</f>
        <v>389.2</v>
      </c>
      <c r="Y21" s="264">
        <f>+X21/$Y$20</f>
        <v>1.0663013698630137</v>
      </c>
    </row>
    <row r="22" spans="1:26" x14ac:dyDescent="0.2">
      <c r="A22" s="255">
        <v>2</v>
      </c>
      <c r="B22" s="257">
        <f t="shared" ref="B22:B31" si="2">+(B7*C7)+D7+365</f>
        <v>383.5</v>
      </c>
      <c r="C22" s="278">
        <f>+B22/$C$20</f>
        <v>1.0506849315068494</v>
      </c>
      <c r="D22" s="252">
        <v>483</v>
      </c>
      <c r="E22" s="289">
        <f>+C22*D22</f>
        <v>507.48082191780827</v>
      </c>
      <c r="F22" s="289">
        <v>83.38</v>
      </c>
      <c r="G22" s="289">
        <f t="shared" ref="G22" si="3">+E22+F22</f>
        <v>590.86082191780827</v>
      </c>
      <c r="H22" s="255">
        <v>2</v>
      </c>
      <c r="I22" s="257">
        <f t="shared" ref="I22:I31" si="4">+(I7*J7)+K7+365</f>
        <v>386.2</v>
      </c>
      <c r="J22" s="278">
        <f>+I22/$C$20</f>
        <v>1.0580821917808219</v>
      </c>
      <c r="M22" s="281">
        <v>2</v>
      </c>
      <c r="N22" s="287">
        <f t="shared" ref="N22:N29" si="5">+(N7*O7)+P7+365</f>
        <v>385</v>
      </c>
      <c r="O22" s="288">
        <f t="shared" ref="O22:O29" si="6">+N22/$O$20</f>
        <v>1.0547945205479452</v>
      </c>
      <c r="P22" s="279">
        <v>313</v>
      </c>
      <c r="Q22" s="252">
        <f>+O22*P22+82.8</f>
        <v>412.95068493150688</v>
      </c>
      <c r="R22" s="255">
        <v>2</v>
      </c>
      <c r="S22" s="257">
        <f t="shared" si="0"/>
        <v>387.2</v>
      </c>
      <c r="T22" s="264">
        <f t="shared" ref="T22:T29" si="7">+S22/$T$20</f>
        <v>1.0608219178082192</v>
      </c>
      <c r="W22" s="255">
        <v>2</v>
      </c>
      <c r="X22" s="257">
        <f t="shared" si="1"/>
        <v>389.9</v>
      </c>
      <c r="Y22" s="264">
        <f t="shared" ref="Y22:Y29" si="8">+X22/$Y$20</f>
        <v>1.0682191780821917</v>
      </c>
    </row>
    <row r="23" spans="1:26" x14ac:dyDescent="0.2">
      <c r="A23" s="255">
        <v>3</v>
      </c>
      <c r="B23" s="257">
        <f t="shared" si="2"/>
        <v>384</v>
      </c>
      <c r="C23" s="278">
        <f t="shared" ref="C23:C31" si="9">+B23/$C$20</f>
        <v>1.0520547945205478</v>
      </c>
      <c r="H23" s="255">
        <v>3</v>
      </c>
      <c r="I23" s="257">
        <f t="shared" si="4"/>
        <v>386.8</v>
      </c>
      <c r="J23" s="278">
        <f t="shared" ref="J23:J31" si="10">+I23/$C$20</f>
        <v>1.0597260273972604</v>
      </c>
      <c r="M23" s="281">
        <v>3</v>
      </c>
      <c r="N23" s="287">
        <f t="shared" si="5"/>
        <v>385.6</v>
      </c>
      <c r="O23" s="288">
        <f t="shared" si="6"/>
        <v>1.0564383561643835</v>
      </c>
      <c r="R23" s="255">
        <v>3</v>
      </c>
      <c r="S23" s="257">
        <f t="shared" si="0"/>
        <v>387.9</v>
      </c>
      <c r="T23" s="264">
        <f t="shared" si="7"/>
        <v>1.0627397260273972</v>
      </c>
      <c r="W23" s="255">
        <v>3</v>
      </c>
      <c r="X23" s="257">
        <f t="shared" si="1"/>
        <v>390.6</v>
      </c>
      <c r="Y23" s="264">
        <f t="shared" si="8"/>
        <v>1.0701369863013699</v>
      </c>
    </row>
    <row r="24" spans="1:26" x14ac:dyDescent="0.2">
      <c r="A24" s="255">
        <v>4</v>
      </c>
      <c r="B24" s="257">
        <f t="shared" si="2"/>
        <v>384.5</v>
      </c>
      <c r="C24" s="278">
        <f t="shared" si="9"/>
        <v>1.0534246575342465</v>
      </c>
      <c r="H24" s="255">
        <v>4</v>
      </c>
      <c r="I24" s="257">
        <f t="shared" si="4"/>
        <v>387.4</v>
      </c>
      <c r="J24" s="278">
        <f t="shared" si="10"/>
        <v>1.0613698630136985</v>
      </c>
      <c r="M24" s="281">
        <v>4</v>
      </c>
      <c r="N24" s="287">
        <f t="shared" si="5"/>
        <v>386.2</v>
      </c>
      <c r="O24" s="288">
        <f t="shared" si="6"/>
        <v>1.0580821917808219</v>
      </c>
      <c r="R24" s="255">
        <v>4</v>
      </c>
      <c r="S24" s="257">
        <f t="shared" si="0"/>
        <v>388.6</v>
      </c>
      <c r="T24" s="264">
        <f t="shared" si="7"/>
        <v>1.0646575342465754</v>
      </c>
      <c r="W24" s="255">
        <v>4</v>
      </c>
      <c r="X24" s="257">
        <f t="shared" si="1"/>
        <v>391.3</v>
      </c>
      <c r="Y24" s="264">
        <f t="shared" si="8"/>
        <v>1.0720547945205481</v>
      </c>
    </row>
    <row r="25" spans="1:26" x14ac:dyDescent="0.2">
      <c r="A25" s="255">
        <v>5</v>
      </c>
      <c r="B25" s="257">
        <f t="shared" si="2"/>
        <v>385</v>
      </c>
      <c r="C25" s="278">
        <f t="shared" si="9"/>
        <v>1.0547945205479452</v>
      </c>
      <c r="H25" s="255">
        <v>5</v>
      </c>
      <c r="I25" s="257">
        <f t="shared" si="4"/>
        <v>388</v>
      </c>
      <c r="J25" s="278">
        <f t="shared" si="10"/>
        <v>1.0630136986301371</v>
      </c>
      <c r="M25" s="281">
        <v>5</v>
      </c>
      <c r="N25" s="287">
        <f t="shared" si="5"/>
        <v>386.8</v>
      </c>
      <c r="O25" s="288">
        <f t="shared" si="6"/>
        <v>1.0597260273972604</v>
      </c>
      <c r="R25" s="255">
        <v>5</v>
      </c>
      <c r="S25" s="257">
        <f t="shared" si="0"/>
        <v>389.3</v>
      </c>
      <c r="T25" s="264">
        <f t="shared" si="7"/>
        <v>1.0665753424657534</v>
      </c>
      <c r="W25" s="265">
        <v>5</v>
      </c>
      <c r="X25" s="266">
        <f t="shared" si="1"/>
        <v>392</v>
      </c>
      <c r="Y25" s="267">
        <f t="shared" si="8"/>
        <v>1.0739726027397261</v>
      </c>
    </row>
    <row r="26" spans="1:26" x14ac:dyDescent="0.2">
      <c r="A26" s="255">
        <v>10</v>
      </c>
      <c r="B26" s="257">
        <f t="shared" si="2"/>
        <v>385.5</v>
      </c>
      <c r="C26" s="278">
        <f t="shared" si="9"/>
        <v>1.0561643835616439</v>
      </c>
      <c r="H26" s="255">
        <v>10</v>
      </c>
      <c r="I26" s="257">
        <f t="shared" si="4"/>
        <v>388.6</v>
      </c>
      <c r="J26" s="278">
        <f t="shared" si="10"/>
        <v>1.0646575342465754</v>
      </c>
      <c r="M26" s="281">
        <v>10</v>
      </c>
      <c r="N26" s="287">
        <f t="shared" si="5"/>
        <v>387.4</v>
      </c>
      <c r="O26" s="288">
        <f t="shared" si="6"/>
        <v>1.0613698630136985</v>
      </c>
      <c r="R26" s="255">
        <v>10</v>
      </c>
      <c r="S26" s="257">
        <f t="shared" si="0"/>
        <v>390</v>
      </c>
      <c r="T26" s="264">
        <f t="shared" si="7"/>
        <v>1.0684931506849316</v>
      </c>
      <c r="W26" s="255">
        <v>10</v>
      </c>
      <c r="X26" s="257">
        <f t="shared" si="1"/>
        <v>392.7</v>
      </c>
      <c r="Y26" s="264">
        <f t="shared" si="8"/>
        <v>1.075890410958904</v>
      </c>
    </row>
    <row r="27" spans="1:26" x14ac:dyDescent="0.2">
      <c r="A27" s="255">
        <v>15</v>
      </c>
      <c r="B27" s="257">
        <f t="shared" si="2"/>
        <v>386</v>
      </c>
      <c r="C27" s="278">
        <f t="shared" si="9"/>
        <v>1.0575342465753426</v>
      </c>
      <c r="H27" s="255">
        <v>15</v>
      </c>
      <c r="I27" s="257">
        <f t="shared" si="4"/>
        <v>389.2</v>
      </c>
      <c r="J27" s="278">
        <f t="shared" si="10"/>
        <v>1.0663013698630137</v>
      </c>
      <c r="M27" s="281">
        <v>15</v>
      </c>
      <c r="N27" s="287">
        <f t="shared" si="5"/>
        <v>388</v>
      </c>
      <c r="O27" s="288">
        <f t="shared" si="6"/>
        <v>1.0630136986301371</v>
      </c>
      <c r="R27" s="255">
        <v>15</v>
      </c>
      <c r="S27" s="257">
        <f t="shared" si="0"/>
        <v>390.7</v>
      </c>
      <c r="T27" s="264">
        <f t="shared" si="7"/>
        <v>1.0704109589041095</v>
      </c>
      <c r="W27" s="255">
        <v>15</v>
      </c>
      <c r="X27" s="257">
        <f t="shared" si="1"/>
        <v>392.7</v>
      </c>
      <c r="Y27" s="264">
        <f t="shared" si="8"/>
        <v>1.075890410958904</v>
      </c>
    </row>
    <row r="28" spans="1:26" x14ac:dyDescent="0.2">
      <c r="A28" s="255">
        <v>20</v>
      </c>
      <c r="B28" s="257">
        <f t="shared" si="2"/>
        <v>386.5</v>
      </c>
      <c r="C28" s="278">
        <f t="shared" si="9"/>
        <v>1.058904109589041</v>
      </c>
      <c r="H28" s="255">
        <v>20</v>
      </c>
      <c r="I28" s="257">
        <f t="shared" si="4"/>
        <v>389.8</v>
      </c>
      <c r="J28" s="278">
        <f t="shared" si="10"/>
        <v>1.067945205479452</v>
      </c>
      <c r="M28" s="281">
        <v>20</v>
      </c>
      <c r="N28" s="287">
        <f t="shared" si="5"/>
        <v>388.6</v>
      </c>
      <c r="O28" s="288">
        <f t="shared" si="6"/>
        <v>1.0646575342465754</v>
      </c>
      <c r="R28" s="255">
        <v>20</v>
      </c>
      <c r="S28" s="257">
        <f t="shared" si="0"/>
        <v>390.7</v>
      </c>
      <c r="T28" s="264">
        <f t="shared" si="7"/>
        <v>1.0704109589041095</v>
      </c>
      <c r="W28" s="255">
        <v>20</v>
      </c>
      <c r="X28" s="257">
        <f t="shared" si="1"/>
        <v>392.7</v>
      </c>
      <c r="Y28" s="264">
        <f t="shared" si="8"/>
        <v>1.075890410958904</v>
      </c>
    </row>
    <row r="29" spans="1:26" x14ac:dyDescent="0.2">
      <c r="A29" s="255">
        <v>25</v>
      </c>
      <c r="B29" s="257">
        <f t="shared" si="2"/>
        <v>387</v>
      </c>
      <c r="C29" s="278">
        <f t="shared" si="9"/>
        <v>1.0602739726027397</v>
      </c>
      <c r="H29" s="255">
        <v>25</v>
      </c>
      <c r="I29" s="257">
        <f t="shared" si="4"/>
        <v>390.4</v>
      </c>
      <c r="J29" s="278">
        <f t="shared" si="10"/>
        <v>1.0695890410958904</v>
      </c>
      <c r="M29" s="281">
        <v>25</v>
      </c>
      <c r="N29" s="287">
        <f t="shared" si="5"/>
        <v>388.6</v>
      </c>
      <c r="O29" s="288">
        <f t="shared" si="6"/>
        <v>1.0646575342465754</v>
      </c>
      <c r="R29" s="255">
        <v>25</v>
      </c>
      <c r="S29" s="257">
        <f t="shared" si="0"/>
        <v>390.7</v>
      </c>
      <c r="T29" s="264">
        <f t="shared" si="7"/>
        <v>1.0704109589041095</v>
      </c>
      <c r="W29" s="255">
        <v>25</v>
      </c>
      <c r="X29" s="257">
        <f t="shared" si="1"/>
        <v>392.7</v>
      </c>
      <c r="Y29" s="264">
        <f t="shared" si="8"/>
        <v>1.075890410958904</v>
      </c>
    </row>
    <row r="30" spans="1:26" x14ac:dyDescent="0.2">
      <c r="A30" s="255">
        <v>30</v>
      </c>
      <c r="B30" s="257">
        <f t="shared" si="2"/>
        <v>387.5</v>
      </c>
      <c r="C30" s="278">
        <f t="shared" si="9"/>
        <v>1.0616438356164384</v>
      </c>
      <c r="H30" s="255">
        <v>30</v>
      </c>
      <c r="I30" s="257">
        <f t="shared" si="4"/>
        <v>391</v>
      </c>
      <c r="J30" s="278">
        <f t="shared" si="10"/>
        <v>1.0712328767123287</v>
      </c>
      <c r="O30" s="506"/>
      <c r="P30" s="506"/>
      <c r="Q30" s="506"/>
    </row>
    <row r="31" spans="1:26" x14ac:dyDescent="0.2">
      <c r="A31" s="255">
        <v>35</v>
      </c>
      <c r="B31" s="257">
        <f t="shared" si="2"/>
        <v>388</v>
      </c>
      <c r="C31" s="278">
        <f t="shared" si="9"/>
        <v>1.0630136986301371</v>
      </c>
      <c r="D31" s="253"/>
      <c r="E31" s="291"/>
      <c r="F31" s="291"/>
      <c r="G31" s="291"/>
      <c r="H31" s="255">
        <v>35</v>
      </c>
      <c r="I31" s="257">
        <f t="shared" si="4"/>
        <v>391.6</v>
      </c>
      <c r="J31" s="278">
        <f t="shared" si="10"/>
        <v>1.0728767123287672</v>
      </c>
      <c r="K31" s="253"/>
      <c r="M31" s="507"/>
      <c r="N31" s="507"/>
      <c r="O31" s="507"/>
      <c r="P31" s="507"/>
      <c r="R31" s="506"/>
      <c r="S31" s="506"/>
      <c r="T31" s="506"/>
      <c r="U31" s="506"/>
      <c r="W31" s="506"/>
      <c r="X31" s="506"/>
      <c r="Y31" s="506"/>
      <c r="Z31" s="506"/>
    </row>
    <row r="34" spans="3:25" x14ac:dyDescent="0.2">
      <c r="C34" s="259"/>
      <c r="O34" s="285"/>
      <c r="T34" s="259"/>
      <c r="Y34" s="259"/>
    </row>
    <row r="35" spans="3:25" x14ac:dyDescent="0.2">
      <c r="C35" s="259"/>
      <c r="O35" s="285"/>
      <c r="T35" s="259"/>
      <c r="Y35" s="259"/>
    </row>
    <row r="36" spans="3:25" x14ac:dyDescent="0.2">
      <c r="C36" s="259"/>
      <c r="O36" s="285"/>
      <c r="T36" s="259"/>
      <c r="Y36" s="259"/>
    </row>
    <row r="37" spans="3:25" x14ac:dyDescent="0.2">
      <c r="C37" s="259"/>
      <c r="O37" s="285"/>
      <c r="T37" s="259"/>
      <c r="Y37" s="259"/>
    </row>
    <row r="38" spans="3:25" x14ac:dyDescent="0.2">
      <c r="C38" s="259"/>
      <c r="O38" s="285"/>
      <c r="T38" s="259"/>
      <c r="Y38" s="259"/>
    </row>
    <row r="39" spans="3:25" x14ac:dyDescent="0.2">
      <c r="C39" s="259"/>
      <c r="O39" s="285"/>
      <c r="T39" s="259"/>
      <c r="Y39" s="259"/>
    </row>
    <row r="40" spans="3:25" x14ac:dyDescent="0.2">
      <c r="C40" s="259"/>
      <c r="O40" s="285"/>
      <c r="T40" s="259"/>
      <c r="Y40" s="259"/>
    </row>
    <row r="41" spans="3:25" x14ac:dyDescent="0.2">
      <c r="C41" s="259"/>
      <c r="O41" s="285"/>
      <c r="T41" s="259"/>
      <c r="Y41" s="259"/>
    </row>
    <row r="42" spans="3:25" x14ac:dyDescent="0.2">
      <c r="C42" s="259"/>
      <c r="O42" s="285"/>
      <c r="T42" s="259"/>
      <c r="Y42" s="259"/>
    </row>
  </sheetData>
  <mergeCells count="14">
    <mergeCell ref="O30:Q30"/>
    <mergeCell ref="M31:P31"/>
    <mergeCell ref="R31:U31"/>
    <mergeCell ref="W31:Z31"/>
    <mergeCell ref="O2:Q2"/>
    <mergeCell ref="A3:D4"/>
    <mergeCell ref="M3:P3"/>
    <mergeCell ref="R3:U3"/>
    <mergeCell ref="W3:Z3"/>
    <mergeCell ref="M4:P4"/>
    <mergeCell ref="R4:U4"/>
    <mergeCell ref="W4:Z4"/>
    <mergeCell ref="H3:K3"/>
    <mergeCell ref="H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4:T241"/>
  <sheetViews>
    <sheetView showGridLines="0" topLeftCell="B19" zoomScaleNormal="100" workbookViewId="0">
      <selection activeCell="D19" sqref="D19"/>
    </sheetView>
  </sheetViews>
  <sheetFormatPr defaultColWidth="9.140625" defaultRowHeight="11.25" x14ac:dyDescent="0.2"/>
  <cols>
    <col min="1" max="1" width="2.7109375" style="115" bestFit="1" customWidth="1"/>
    <col min="2" max="2" width="3.42578125" style="115" bestFit="1" customWidth="1"/>
    <col min="3" max="3" width="30.28515625" style="115" bestFit="1" customWidth="1"/>
    <col min="4" max="4" width="13.42578125" style="133" bestFit="1" customWidth="1"/>
    <col min="5" max="5" width="44.42578125" style="133" bestFit="1" customWidth="1"/>
    <col min="6" max="7" width="10.7109375" style="115" bestFit="1" customWidth="1"/>
    <col min="8" max="8" width="12.28515625" style="113" bestFit="1" customWidth="1"/>
    <col min="9" max="9" width="16.140625" style="114" bestFit="1" customWidth="1"/>
    <col min="10" max="10" width="10.7109375" style="113" bestFit="1" customWidth="1"/>
    <col min="11" max="11" width="12" style="113" customWidth="1"/>
    <col min="12" max="12" width="17.140625" style="113" customWidth="1"/>
    <col min="13" max="13" width="10.7109375" style="113" bestFit="1" customWidth="1"/>
    <col min="14" max="15" width="9.85546875" style="113" bestFit="1" customWidth="1"/>
    <col min="16" max="20" width="9.140625" style="113"/>
    <col min="21" max="16384" width="9.140625" style="115"/>
  </cols>
  <sheetData>
    <row r="4" spans="3:17" ht="18" customHeight="1" x14ac:dyDescent="0.2">
      <c r="C4" s="513" t="s">
        <v>136</v>
      </c>
      <c r="D4" s="514"/>
      <c r="E4" s="514"/>
      <c r="F4" s="514"/>
      <c r="G4" s="515"/>
    </row>
    <row r="5" spans="3:17" ht="15.75" customHeight="1" x14ac:dyDescent="0.2">
      <c r="C5" s="513">
        <v>2026</v>
      </c>
      <c r="D5" s="514"/>
      <c r="E5" s="514"/>
      <c r="F5" s="514"/>
      <c r="G5" s="515"/>
    </row>
    <row r="6" spans="3:17" ht="18" customHeight="1" x14ac:dyDescent="0.2">
      <c r="C6" s="116"/>
      <c r="D6" s="116"/>
      <c r="E6" s="116"/>
      <c r="F6" s="116"/>
      <c r="G6" s="116"/>
      <c r="I6" s="516"/>
    </row>
    <row r="7" spans="3:17" ht="11.25" customHeight="1" x14ac:dyDescent="0.2">
      <c r="D7" s="116"/>
      <c r="E7" s="116"/>
      <c r="F7" s="116"/>
      <c r="G7" s="116"/>
      <c r="I7" s="517"/>
    </row>
    <row r="8" spans="3:17" x14ac:dyDescent="0.2">
      <c r="C8" s="118" t="s">
        <v>0</v>
      </c>
      <c r="D8" s="119"/>
      <c r="E8" s="120"/>
      <c r="I8" s="117"/>
    </row>
    <row r="9" spans="3:17" x14ac:dyDescent="0.2">
      <c r="C9" s="121" t="s">
        <v>1</v>
      </c>
      <c r="D9" s="122">
        <v>14</v>
      </c>
      <c r="E9" s="123"/>
      <c r="I9" s="117"/>
      <c r="K9" s="113">
        <v>7</v>
      </c>
      <c r="L9" s="113">
        <v>14</v>
      </c>
      <c r="M9" s="113">
        <v>15</v>
      </c>
      <c r="N9" s="113">
        <v>30</v>
      </c>
    </row>
    <row r="10" spans="3:17" x14ac:dyDescent="0.2">
      <c r="C10" s="121" t="s">
        <v>2</v>
      </c>
      <c r="D10" s="122">
        <v>14</v>
      </c>
      <c r="E10" s="123"/>
      <c r="I10" s="117"/>
    </row>
    <row r="11" spans="3:17" ht="12.75" x14ac:dyDescent="0.2">
      <c r="C11" s="121" t="s">
        <v>3</v>
      </c>
      <c r="D11" s="122">
        <v>0</v>
      </c>
      <c r="E11" s="123"/>
      <c r="G11"/>
      <c r="H11"/>
      <c r="I11"/>
      <c r="J11"/>
      <c r="K11"/>
      <c r="L11"/>
      <c r="M11"/>
      <c r="N11"/>
      <c r="O11"/>
      <c r="P11"/>
      <c r="Q11"/>
    </row>
    <row r="12" spans="3:17" ht="12.75" customHeight="1" x14ac:dyDescent="0.2">
      <c r="C12" s="124"/>
      <c r="D12" s="125"/>
      <c r="E12" s="120"/>
      <c r="G12"/>
      <c r="H12"/>
      <c r="I12"/>
      <c r="J12"/>
      <c r="K12"/>
      <c r="L12"/>
      <c r="M12"/>
      <c r="N12"/>
      <c r="O12"/>
      <c r="P12"/>
      <c r="Q12"/>
    </row>
    <row r="13" spans="3:17" ht="12.75" x14ac:dyDescent="0.2">
      <c r="C13" s="126" t="s">
        <v>4</v>
      </c>
      <c r="D13" s="127"/>
      <c r="E13" s="120"/>
      <c r="G13" s="39"/>
      <c r="H13"/>
      <c r="I13" s="276"/>
      <c r="J13"/>
      <c r="K13"/>
      <c r="L13"/>
      <c r="M13"/>
      <c r="N13"/>
      <c r="O13"/>
      <c r="P13">
        <v>1978</v>
      </c>
      <c r="Q13">
        <v>100</v>
      </c>
    </row>
    <row r="14" spans="3:17" ht="12.75" x14ac:dyDescent="0.2">
      <c r="C14" s="121" t="s">
        <v>5</v>
      </c>
      <c r="D14" s="128">
        <v>419.88</v>
      </c>
      <c r="E14" s="120"/>
      <c r="G14"/>
      <c r="H14"/>
      <c r="I14"/>
      <c r="J14"/>
      <c r="K14"/>
      <c r="L14"/>
      <c r="M14"/>
      <c r="N14"/>
      <c r="O14"/>
      <c r="P14">
        <v>2324.2399999999998</v>
      </c>
      <c r="Q14">
        <f>+P14*Q13/P13</f>
        <v>117.50455005055611</v>
      </c>
    </row>
    <row r="15" spans="3:17" ht="12.75" x14ac:dyDescent="0.2">
      <c r="C15" s="121" t="s">
        <v>6</v>
      </c>
      <c r="D15" s="128">
        <v>315.04000000000002</v>
      </c>
      <c r="E15" s="120"/>
      <c r="G15"/>
      <c r="H15"/>
      <c r="I15"/>
      <c r="J15"/>
      <c r="K15"/>
      <c r="L15"/>
      <c r="M15"/>
      <c r="N15"/>
      <c r="O15"/>
      <c r="P15"/>
      <c r="Q15">
        <f>+Q13-Q14</f>
        <v>-17.504550050556105</v>
      </c>
    </row>
    <row r="16" spans="3:17" ht="12.75" x14ac:dyDescent="0.2">
      <c r="C16" s="121" t="s">
        <v>188</v>
      </c>
      <c r="D16" s="130">
        <f>+'IMSS Calculo'!E2</f>
        <v>117.31</v>
      </c>
      <c r="E16" s="120" t="s">
        <v>241</v>
      </c>
      <c r="G16"/>
      <c r="H16"/>
      <c r="I16"/>
      <c r="J16"/>
      <c r="K16"/>
      <c r="L16"/>
      <c r="M16"/>
      <c r="N16"/>
      <c r="O16"/>
      <c r="P16"/>
      <c r="Q16"/>
    </row>
    <row r="17" spans="3:17" ht="12.75" x14ac:dyDescent="0.2">
      <c r="C17" s="124"/>
      <c r="D17" s="131"/>
      <c r="E17" s="120" t="s">
        <v>242</v>
      </c>
      <c r="G17"/>
      <c r="H17"/>
      <c r="I17"/>
      <c r="J17"/>
      <c r="K17"/>
      <c r="L17"/>
      <c r="M17"/>
      <c r="N17"/>
      <c r="O17"/>
      <c r="P17"/>
      <c r="Q17"/>
    </row>
    <row r="18" spans="3:17" x14ac:dyDescent="0.2">
      <c r="C18" s="132" t="s">
        <v>7</v>
      </c>
      <c r="E18" s="120"/>
      <c r="I18" s="134"/>
    </row>
    <row r="19" spans="3:17" x14ac:dyDescent="0.2">
      <c r="C19" s="121" t="s">
        <v>8</v>
      </c>
      <c r="D19" s="135">
        <v>752.44590000000005</v>
      </c>
      <c r="E19" s="123">
        <f>+D19*30.4</f>
        <v>22874.355360000001</v>
      </c>
      <c r="I19" s="134"/>
    </row>
    <row r="20" spans="3:17" x14ac:dyDescent="0.2">
      <c r="C20" s="121" t="s">
        <v>9</v>
      </c>
      <c r="D20" s="130">
        <f>+J39</f>
        <v>789.55282109589052</v>
      </c>
      <c r="E20" s="123">
        <f>+D19/2</f>
        <v>376.22295000000003</v>
      </c>
      <c r="I20" s="136"/>
    </row>
    <row r="21" spans="3:17" x14ac:dyDescent="0.2">
      <c r="C21" s="121" t="s">
        <v>10</v>
      </c>
      <c r="D21" s="122">
        <v>0</v>
      </c>
      <c r="E21" s="123"/>
      <c r="I21" s="137"/>
    </row>
    <row r="22" spans="3:17" x14ac:dyDescent="0.2">
      <c r="C22" s="121" t="s">
        <v>11</v>
      </c>
      <c r="D22" s="138" t="s">
        <v>12</v>
      </c>
      <c r="E22" s="123"/>
      <c r="I22" s="137"/>
    </row>
    <row r="23" spans="3:17" x14ac:dyDescent="0.2">
      <c r="C23" s="121" t="s">
        <v>14</v>
      </c>
      <c r="D23" s="122">
        <v>0</v>
      </c>
      <c r="E23" s="123"/>
      <c r="I23" s="137"/>
    </row>
    <row r="24" spans="3:17" x14ac:dyDescent="0.2">
      <c r="C24" s="121" t="s">
        <v>15</v>
      </c>
      <c r="D24" s="122">
        <v>61</v>
      </c>
      <c r="E24" s="123"/>
      <c r="I24" s="134"/>
    </row>
    <row r="25" spans="3:17" x14ac:dyDescent="0.2">
      <c r="C25" s="124"/>
      <c r="D25" s="139"/>
      <c r="E25" s="123"/>
      <c r="I25" s="134"/>
    </row>
    <row r="26" spans="3:17" x14ac:dyDescent="0.2">
      <c r="C26" s="132" t="s">
        <v>119</v>
      </c>
      <c r="D26" s="139"/>
      <c r="E26" s="123"/>
      <c r="F26" s="115">
        <v>6647643937</v>
      </c>
      <c r="I26" s="134"/>
    </row>
    <row r="27" spans="3:17" x14ac:dyDescent="0.2">
      <c r="C27" s="121" t="s">
        <v>112</v>
      </c>
      <c r="D27" s="122">
        <v>1</v>
      </c>
      <c r="E27" s="123"/>
      <c r="I27" s="134"/>
    </row>
    <row r="28" spans="3:17" x14ac:dyDescent="0.2">
      <c r="C28" s="121" t="s">
        <v>108</v>
      </c>
      <c r="D28" s="130">
        <v>0</v>
      </c>
      <c r="E28" s="123"/>
      <c r="I28" s="134"/>
    </row>
    <row r="29" spans="3:17" x14ac:dyDescent="0.2">
      <c r="C29" s="121" t="s">
        <v>109</v>
      </c>
      <c r="D29" s="130">
        <v>0</v>
      </c>
      <c r="E29" s="123"/>
      <c r="I29" s="140"/>
    </row>
    <row r="30" spans="3:17" x14ac:dyDescent="0.2">
      <c r="C30" s="121" t="s">
        <v>110</v>
      </c>
      <c r="D30" s="130">
        <v>0</v>
      </c>
      <c r="E30" s="123"/>
      <c r="I30" s="134"/>
    </row>
    <row r="31" spans="3:17" x14ac:dyDescent="0.2">
      <c r="C31" s="121" t="s">
        <v>111</v>
      </c>
      <c r="D31" s="130">
        <v>0</v>
      </c>
      <c r="E31" s="123"/>
      <c r="I31" s="134"/>
    </row>
    <row r="32" spans="3:17" x14ac:dyDescent="0.2">
      <c r="E32" s="120"/>
    </row>
    <row r="34" spans="2:20" s="144" customFormat="1" x14ac:dyDescent="0.2">
      <c r="B34" s="141" t="s">
        <v>16</v>
      </c>
      <c r="C34" s="141" t="s">
        <v>17</v>
      </c>
      <c r="D34" s="142" t="s">
        <v>18</v>
      </c>
      <c r="E34" s="142" t="s">
        <v>19</v>
      </c>
      <c r="F34" s="143"/>
      <c r="H34" s="145"/>
      <c r="I34" s="146"/>
      <c r="J34" s="147"/>
      <c r="K34" s="148"/>
      <c r="L34" s="145"/>
      <c r="M34" s="145"/>
      <c r="N34" s="145"/>
      <c r="O34" s="145"/>
      <c r="P34" s="145"/>
      <c r="Q34" s="145"/>
      <c r="R34" s="145"/>
      <c r="S34" s="145"/>
      <c r="T34" s="145"/>
    </row>
    <row r="35" spans="2:20" x14ac:dyDescent="0.2">
      <c r="B35" s="132">
        <v>1</v>
      </c>
      <c r="C35" s="149" t="s">
        <v>20</v>
      </c>
      <c r="D35" s="130">
        <f>+D19*12</f>
        <v>9029.3508000000002</v>
      </c>
      <c r="E35" s="150"/>
      <c r="F35" s="151"/>
      <c r="I35" s="147"/>
      <c r="K35" s="152"/>
    </row>
    <row r="36" spans="2:20" x14ac:dyDescent="0.2">
      <c r="B36" s="132">
        <v>2</v>
      </c>
      <c r="C36" s="149" t="s">
        <v>21</v>
      </c>
      <c r="D36" s="130">
        <f>+D19*2</f>
        <v>1504.8918000000001</v>
      </c>
      <c r="E36" s="150"/>
      <c r="F36" s="151"/>
      <c r="I36" s="509" t="s">
        <v>145</v>
      </c>
      <c r="J36" s="509"/>
      <c r="K36" s="152"/>
    </row>
    <row r="37" spans="2:20" x14ac:dyDescent="0.2">
      <c r="B37" s="132">
        <v>3</v>
      </c>
      <c r="C37" s="149" t="s">
        <v>22</v>
      </c>
      <c r="D37" s="130">
        <v>0</v>
      </c>
      <c r="E37" s="150">
        <f>MIN(( D37+D39+D40)/2, 5*$D$16)</f>
        <v>0</v>
      </c>
      <c r="F37" s="151"/>
      <c r="I37" s="153" t="s">
        <v>8</v>
      </c>
      <c r="J37" s="154">
        <f>+D19</f>
        <v>752.44590000000005</v>
      </c>
      <c r="K37" s="152"/>
    </row>
    <row r="38" spans="2:20" x14ac:dyDescent="0.2">
      <c r="B38" s="132">
        <v>4</v>
      </c>
      <c r="C38" s="149" t="s">
        <v>23</v>
      </c>
      <c r="D38" s="130">
        <v>0</v>
      </c>
      <c r="E38" s="150"/>
      <c r="F38" s="151"/>
      <c r="I38" s="153" t="s">
        <v>146</v>
      </c>
      <c r="J38" s="155">
        <f>+Tablas!C21</f>
        <v>1.0493150684931507</v>
      </c>
      <c r="K38" s="152"/>
    </row>
    <row r="39" spans="2:20" x14ac:dyDescent="0.2">
      <c r="B39" s="132">
        <v>5</v>
      </c>
      <c r="C39" s="149" t="s">
        <v>24</v>
      </c>
      <c r="D39" s="130">
        <v>0</v>
      </c>
      <c r="E39" s="150"/>
      <c r="F39" s="151"/>
      <c r="I39" s="153" t="s">
        <v>145</v>
      </c>
      <c r="J39" s="154">
        <f>+J37*J38</f>
        <v>789.55282109589052</v>
      </c>
      <c r="K39" s="156"/>
      <c r="L39" s="273"/>
    </row>
    <row r="40" spans="2:20" x14ac:dyDescent="0.2">
      <c r="B40" s="132">
        <v>6</v>
      </c>
      <c r="C40" s="149" t="s">
        <v>25</v>
      </c>
      <c r="D40" s="130">
        <v>0</v>
      </c>
      <c r="E40" s="150">
        <v>0</v>
      </c>
      <c r="F40" s="151"/>
      <c r="I40" s="113"/>
      <c r="J40" s="157"/>
    </row>
    <row r="41" spans="2:20" x14ac:dyDescent="0.2">
      <c r="B41" s="132">
        <v>7</v>
      </c>
      <c r="C41" s="149" t="s">
        <v>26</v>
      </c>
      <c r="D41" s="130">
        <v>0</v>
      </c>
      <c r="E41" s="150">
        <f>+D41</f>
        <v>0</v>
      </c>
      <c r="F41" s="151"/>
      <c r="I41" s="153" t="s">
        <v>147</v>
      </c>
      <c r="J41" s="158">
        <v>0</v>
      </c>
    </row>
    <row r="42" spans="2:20" x14ac:dyDescent="0.2">
      <c r="B42" s="132">
        <v>11</v>
      </c>
      <c r="C42" s="149" t="s">
        <v>27</v>
      </c>
      <c r="D42" s="130">
        <v>0</v>
      </c>
      <c r="E42" s="150"/>
      <c r="F42" s="151"/>
      <c r="I42" s="113"/>
      <c r="J42" s="159"/>
    </row>
    <row r="43" spans="2:20" x14ac:dyDescent="0.2">
      <c r="B43" s="132">
        <v>21</v>
      </c>
      <c r="C43" s="149" t="s">
        <v>28</v>
      </c>
      <c r="D43" s="130">
        <v>0</v>
      </c>
      <c r="E43" s="150"/>
      <c r="F43" s="151" t="s">
        <v>249</v>
      </c>
      <c r="G43" s="115" t="s">
        <v>250</v>
      </c>
      <c r="I43" s="153" t="s">
        <v>148</v>
      </c>
      <c r="J43" s="160">
        <f>+J39+J41</f>
        <v>789.55282109589052</v>
      </c>
    </row>
    <row r="44" spans="2:20" x14ac:dyDescent="0.2">
      <c r="B44" s="132">
        <v>22</v>
      </c>
      <c r="C44" s="149" t="s">
        <v>29</v>
      </c>
      <c r="D44" s="130">
        <f>+(D19*24)*0.25/12/2.17</f>
        <v>173.37463133640554</v>
      </c>
      <c r="E44" s="150">
        <v>67.493424657534248</v>
      </c>
      <c r="F44" s="304">
        <v>1759.65</v>
      </c>
      <c r="G44" s="115">
        <f>+F44/365*14</f>
        <v>67.493424657534248</v>
      </c>
      <c r="J44" s="113" t="s">
        <v>135</v>
      </c>
    </row>
    <row r="45" spans="2:20" x14ac:dyDescent="0.2">
      <c r="B45" s="132">
        <v>23</v>
      </c>
      <c r="C45" s="149" t="s">
        <v>30</v>
      </c>
      <c r="D45" s="130">
        <f>(D19*30/12)/2.17</f>
        <v>866.87315668202768</v>
      </c>
      <c r="E45" s="150">
        <v>134.9868493150685</v>
      </c>
      <c r="F45" s="304">
        <f>+D16*30</f>
        <v>3519.3</v>
      </c>
      <c r="G45" s="115">
        <f t="shared" ref="G45:G46" si="0">+F45/365*14</f>
        <v>134.9868493150685</v>
      </c>
    </row>
    <row r="46" spans="2:20" x14ac:dyDescent="0.2">
      <c r="B46" s="132">
        <v>24</v>
      </c>
      <c r="C46" s="149" t="s">
        <v>31</v>
      </c>
      <c r="D46" s="130">
        <v>1520.58</v>
      </c>
      <c r="E46" s="150">
        <v>67.493424657534248</v>
      </c>
      <c r="F46" s="304">
        <f>+D16*15</f>
        <v>1759.65</v>
      </c>
      <c r="G46" s="115">
        <f t="shared" si="0"/>
        <v>67.493424657534248</v>
      </c>
    </row>
    <row r="47" spans="2:20" x14ac:dyDescent="0.2">
      <c r="B47" s="132">
        <v>31</v>
      </c>
      <c r="C47" s="149" t="s">
        <v>248</v>
      </c>
      <c r="D47" s="130">
        <f>+D19*0.0500329*D9</f>
        <v>527.05870658154004</v>
      </c>
      <c r="E47" s="150"/>
      <c r="F47" s="151"/>
      <c r="G47" s="303"/>
      <c r="I47" s="161"/>
      <c r="J47" s="162"/>
    </row>
    <row r="48" spans="2:20" x14ac:dyDescent="0.2">
      <c r="B48" s="132">
        <v>32</v>
      </c>
      <c r="C48" s="149" t="s">
        <v>247</v>
      </c>
      <c r="D48" s="130">
        <f>+D47</f>
        <v>527.05870658154004</v>
      </c>
      <c r="E48" s="150"/>
      <c r="F48" s="151"/>
      <c r="I48" s="518"/>
      <c r="J48" s="518"/>
    </row>
    <row r="49" spans="1:10" x14ac:dyDescent="0.2">
      <c r="A49" s="115">
        <v>90</v>
      </c>
      <c r="B49" s="132">
        <v>34</v>
      </c>
      <c r="C49" s="149" t="s">
        <v>244</v>
      </c>
      <c r="D49" s="130">
        <v>138.25</v>
      </c>
      <c r="E49" s="150"/>
      <c r="F49" s="151"/>
      <c r="I49" s="163"/>
      <c r="J49" s="162"/>
    </row>
    <row r="50" spans="1:10" x14ac:dyDescent="0.2">
      <c r="B50" s="132">
        <v>39</v>
      </c>
      <c r="C50" s="149" t="s">
        <v>245</v>
      </c>
      <c r="D50" s="130">
        <v>17.28</v>
      </c>
      <c r="E50" s="150"/>
      <c r="F50" s="151"/>
      <c r="I50" s="163"/>
      <c r="J50" s="164"/>
    </row>
    <row r="51" spans="1:10" x14ac:dyDescent="0.2">
      <c r="B51" s="132"/>
      <c r="C51" s="149" t="s">
        <v>246</v>
      </c>
      <c r="D51" s="130">
        <f>+E19/2.17</f>
        <v>10541.177585253457</v>
      </c>
      <c r="E51" s="150">
        <v>0</v>
      </c>
      <c r="F51" s="151"/>
      <c r="I51" s="163"/>
      <c r="J51" s="164"/>
    </row>
    <row r="52" spans="1:10" x14ac:dyDescent="0.2">
      <c r="B52" s="132">
        <v>91</v>
      </c>
      <c r="C52" s="149" t="s">
        <v>32</v>
      </c>
      <c r="D52" s="130">
        <v>0</v>
      </c>
      <c r="E52" s="150"/>
      <c r="F52" s="151"/>
      <c r="I52" s="163"/>
      <c r="J52" s="162"/>
    </row>
    <row r="53" spans="1:10" x14ac:dyDescent="0.2">
      <c r="B53" s="132">
        <v>92</v>
      </c>
      <c r="C53" s="149" t="s">
        <v>33</v>
      </c>
      <c r="D53" s="130">
        <v>0</v>
      </c>
      <c r="E53" s="150"/>
      <c r="F53" s="151"/>
      <c r="I53" s="165"/>
      <c r="J53" s="162"/>
    </row>
    <row r="54" spans="1:10" x14ac:dyDescent="0.2">
      <c r="B54" s="132">
        <v>93</v>
      </c>
      <c r="C54" s="149" t="s">
        <v>34</v>
      </c>
      <c r="D54" s="130">
        <v>0</v>
      </c>
      <c r="E54" s="150">
        <f>MIN($D$72*1, 90*$D$14*ROUND($D$21,0))</f>
        <v>0</v>
      </c>
      <c r="F54" s="151"/>
    </row>
    <row r="55" spans="1:10" x14ac:dyDescent="0.2">
      <c r="C55" s="166" t="s">
        <v>35</v>
      </c>
      <c r="D55" s="167">
        <f>SUM(D35:D54)</f>
        <v>24845.895386434971</v>
      </c>
      <c r="E55" s="168">
        <f>SUM(E35:E54)</f>
        <v>269.97369863013699</v>
      </c>
      <c r="F55" s="151"/>
      <c r="I55" s="169" t="s">
        <v>187</v>
      </c>
      <c r="J55" s="153">
        <v>30.4</v>
      </c>
    </row>
    <row r="56" spans="1:10" ht="12" thickBot="1" x14ac:dyDescent="0.25">
      <c r="F56" s="151"/>
    </row>
    <row r="57" spans="1:10" x14ac:dyDescent="0.2">
      <c r="B57" s="170"/>
      <c r="C57" s="171" t="s">
        <v>36</v>
      </c>
      <c r="D57" s="172"/>
      <c r="F57" s="151"/>
      <c r="I57" s="173" t="s">
        <v>165</v>
      </c>
      <c r="J57" s="174">
        <f>+I79</f>
        <v>1176.1930391227399</v>
      </c>
    </row>
    <row r="58" spans="1:10" x14ac:dyDescent="0.2">
      <c r="B58" s="132">
        <v>101</v>
      </c>
      <c r="C58" s="149" t="s">
        <v>37</v>
      </c>
      <c r="D58" s="150">
        <f>MAX( G73-H73, 0 ) + G71 +G72</f>
        <v>4558.8599999999997</v>
      </c>
      <c r="E58" s="151" t="s">
        <v>38</v>
      </c>
      <c r="I58" s="175"/>
      <c r="J58" s="176"/>
    </row>
    <row r="59" spans="1:10" x14ac:dyDescent="0.2">
      <c r="B59" s="132">
        <v>103</v>
      </c>
      <c r="C59" s="149" t="s">
        <v>39</v>
      </c>
      <c r="D59" s="150">
        <f>MIN(G73-H73,0)</f>
        <v>0</v>
      </c>
      <c r="E59" s="151" t="s">
        <v>40</v>
      </c>
      <c r="I59" s="175" t="s">
        <v>166</v>
      </c>
      <c r="J59" s="177">
        <f>+I81</f>
        <v>552.6869747671235</v>
      </c>
    </row>
    <row r="60" spans="1:10" x14ac:dyDescent="0.2">
      <c r="B60" s="132">
        <v>134</v>
      </c>
      <c r="C60" s="149" t="s">
        <v>41</v>
      </c>
      <c r="D60" s="178">
        <v>0</v>
      </c>
      <c r="I60" s="175"/>
      <c r="J60" s="176"/>
    </row>
    <row r="61" spans="1:10" x14ac:dyDescent="0.2">
      <c r="B61" s="132">
        <v>135</v>
      </c>
      <c r="C61" s="149" t="s">
        <v>137</v>
      </c>
      <c r="D61" s="178">
        <f>+'IMSS Calculo'!D54</f>
        <v>287.03319099575344</v>
      </c>
      <c r="I61" s="175" t="s">
        <v>167</v>
      </c>
      <c r="J61" s="179">
        <f>+I83</f>
        <v>1051.5422381919291</v>
      </c>
    </row>
    <row r="62" spans="1:10" x14ac:dyDescent="0.2">
      <c r="C62" s="180" t="s">
        <v>139</v>
      </c>
      <c r="D62" s="167">
        <f>SUM(D58:D61)</f>
        <v>4845.8931909957528</v>
      </c>
      <c r="F62" s="181"/>
      <c r="I62" s="175"/>
      <c r="J62" s="176"/>
    </row>
    <row r="63" spans="1:10" x14ac:dyDescent="0.2">
      <c r="H63" s="182"/>
      <c r="I63" s="175" t="s">
        <v>168</v>
      </c>
      <c r="J63" s="177">
        <f>+D236</f>
        <v>1137.9420086987218</v>
      </c>
    </row>
    <row r="64" spans="1:10" ht="12" thickBot="1" x14ac:dyDescent="0.25">
      <c r="C64" s="115" t="s">
        <v>189</v>
      </c>
      <c r="D64" s="183">
        <v>0</v>
      </c>
      <c r="F64" s="181"/>
      <c r="H64" s="182"/>
      <c r="I64" s="184"/>
      <c r="J64" s="185"/>
    </row>
    <row r="65" spans="3:20" x14ac:dyDescent="0.2">
      <c r="F65" s="181"/>
      <c r="H65" s="182"/>
    </row>
    <row r="66" spans="3:20" x14ac:dyDescent="0.2">
      <c r="J66" s="182">
        <f>SUM(J57:J64)</f>
        <v>3918.3642607805141</v>
      </c>
    </row>
    <row r="67" spans="3:20" x14ac:dyDescent="0.2">
      <c r="C67" s="186" t="s">
        <v>138</v>
      </c>
      <c r="D67" s="186">
        <f>+D55-D62+D64</f>
        <v>20000.002195439218</v>
      </c>
      <c r="E67" s="133">
        <v>20000</v>
      </c>
      <c r="F67" s="181">
        <f>+D67-E67</f>
        <v>2.1954392177576665E-3</v>
      </c>
    </row>
    <row r="70" spans="3:20" s="144" customFormat="1" x14ac:dyDescent="0.2">
      <c r="C70" s="187"/>
      <c r="D70" s="188" t="s">
        <v>42</v>
      </c>
      <c r="E70" s="188" t="s">
        <v>19</v>
      </c>
      <c r="F70" s="187" t="s">
        <v>43</v>
      </c>
      <c r="G70" s="187" t="s">
        <v>44</v>
      </c>
      <c r="H70" s="189" t="s">
        <v>45</v>
      </c>
      <c r="I70" s="129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</row>
    <row r="71" spans="3:20" x14ac:dyDescent="0.2">
      <c r="C71" s="121" t="s">
        <v>46</v>
      </c>
      <c r="D71" s="150">
        <f>D43+D44+D45+D46</f>
        <v>2560.8277880184332</v>
      </c>
      <c r="E71" s="150">
        <f>E41+E44+E45+E46</f>
        <v>269.97369863013699</v>
      </c>
      <c r="F71" s="190">
        <f>D71-E71</f>
        <v>2290.8540893882964</v>
      </c>
      <c r="G71" s="191">
        <v>0</v>
      </c>
      <c r="H71" s="192"/>
    </row>
    <row r="72" spans="3:20" x14ac:dyDescent="0.2">
      <c r="C72" s="121" t="s">
        <v>47</v>
      </c>
      <c r="D72" s="150">
        <f>D52+D53+D54</f>
        <v>0</v>
      </c>
      <c r="E72" s="150">
        <f>E54</f>
        <v>0</v>
      </c>
      <c r="F72" s="190">
        <f>D72-E72</f>
        <v>0</v>
      </c>
      <c r="G72" s="193">
        <f>D168</f>
        <v>0</v>
      </c>
      <c r="H72" s="192"/>
    </row>
    <row r="73" spans="3:20" x14ac:dyDescent="0.2">
      <c r="C73" s="121" t="s">
        <v>48</v>
      </c>
      <c r="D73" s="150">
        <f>D55-D71-D72</f>
        <v>22285.067598416539</v>
      </c>
      <c r="E73" s="150">
        <f>E55-E71-E72</f>
        <v>0</v>
      </c>
      <c r="F73" s="190">
        <f>D73-E73</f>
        <v>22285.067598416539</v>
      </c>
      <c r="G73" s="194">
        <f>D95</f>
        <v>4558.8599999999997</v>
      </c>
      <c r="H73" s="195">
        <f>+D106</f>
        <v>0</v>
      </c>
    </row>
    <row r="74" spans="3:20" x14ac:dyDescent="0.2">
      <c r="C74" s="121" t="s">
        <v>115</v>
      </c>
      <c r="D74" s="150">
        <f>D28</f>
        <v>0</v>
      </c>
      <c r="E74" s="150">
        <f>D29</f>
        <v>0</v>
      </c>
      <c r="F74" s="190">
        <f>D74-E74</f>
        <v>0</v>
      </c>
      <c r="G74" s="190"/>
      <c r="H74" s="153"/>
    </row>
    <row r="75" spans="3:20" x14ac:dyDescent="0.2">
      <c r="C75" s="121" t="s">
        <v>116</v>
      </c>
      <c r="D75" s="150">
        <f>D73+D74</f>
        <v>22285.067598416539</v>
      </c>
      <c r="E75" s="150">
        <f>+E71</f>
        <v>269.97369863013699</v>
      </c>
      <c r="F75" s="190">
        <f>D75-E75</f>
        <v>22015.093899786403</v>
      </c>
      <c r="G75" s="149"/>
      <c r="H75" s="153"/>
    </row>
    <row r="76" spans="3:20" x14ac:dyDescent="0.2">
      <c r="J76" s="113" t="s">
        <v>135</v>
      </c>
    </row>
    <row r="77" spans="3:20" ht="12" thickBot="1" x14ac:dyDescent="0.25"/>
    <row r="78" spans="3:20" ht="12" thickBot="1" x14ac:dyDescent="0.25">
      <c r="C78" s="196" t="s">
        <v>49</v>
      </c>
      <c r="D78" s="197"/>
      <c r="E78" s="198"/>
      <c r="H78" s="510" t="s">
        <v>164</v>
      </c>
      <c r="I78" s="511"/>
      <c r="J78" s="512"/>
      <c r="K78" s="159"/>
    </row>
    <row r="79" spans="3:20" x14ac:dyDescent="0.2">
      <c r="C79" s="199" t="s">
        <v>50</v>
      </c>
      <c r="D79" s="200">
        <f>+D55-E55</f>
        <v>24575.921687804836</v>
      </c>
      <c r="E79" s="201"/>
      <c r="H79" s="173" t="s">
        <v>165</v>
      </c>
      <c r="I79" s="202">
        <f>+'IMSS Calculo'!E54</f>
        <v>1176.1930391227399</v>
      </c>
      <c r="J79" s="203"/>
      <c r="K79" s="159"/>
    </row>
    <row r="80" spans="3:20" x14ac:dyDescent="0.2">
      <c r="C80" s="204" t="s">
        <v>51</v>
      </c>
      <c r="D80" s="205">
        <f>$D$9*$D$27</f>
        <v>14</v>
      </c>
      <c r="E80" s="206"/>
      <c r="H80" s="175"/>
      <c r="J80" s="207"/>
      <c r="K80" s="159"/>
    </row>
    <row r="81" spans="3:11" x14ac:dyDescent="0.2">
      <c r="C81" s="204" t="s">
        <v>52</v>
      </c>
      <c r="D81" s="205">
        <f>$J$55</f>
        <v>30.4</v>
      </c>
      <c r="E81" s="206"/>
      <c r="H81" s="175" t="s">
        <v>166</v>
      </c>
      <c r="I81" s="208">
        <f>+D231</f>
        <v>552.6869747671235</v>
      </c>
      <c r="J81" s="209"/>
      <c r="K81" s="159"/>
    </row>
    <row r="82" spans="3:11" x14ac:dyDescent="0.2">
      <c r="C82" s="204" t="s">
        <v>53</v>
      </c>
      <c r="D82" s="120">
        <f>ROUND(D79/D80*D81,2)</f>
        <v>53364.86</v>
      </c>
      <c r="E82" s="206"/>
      <c r="H82" s="175"/>
      <c r="I82" s="129"/>
      <c r="J82" s="210"/>
      <c r="K82" s="211"/>
    </row>
    <row r="83" spans="3:11" x14ac:dyDescent="0.2">
      <c r="C83" s="204" t="s">
        <v>54</v>
      </c>
      <c r="D83" s="120"/>
      <c r="E83" s="206"/>
      <c r="H83" s="175" t="s">
        <v>167</v>
      </c>
      <c r="I83" s="212">
        <f>+'IMSS Calculo'!E56</f>
        <v>1051.5422381919291</v>
      </c>
      <c r="J83" s="210"/>
      <c r="K83" s="159"/>
    </row>
    <row r="84" spans="3:11" x14ac:dyDescent="0.2">
      <c r="C84" s="204" t="s">
        <v>55</v>
      </c>
      <c r="D84" s="120">
        <f>VLOOKUP($D$82,$D$174:$G$184,1)</f>
        <v>35362.839999999997</v>
      </c>
      <c r="E84" s="206"/>
      <c r="H84" s="175"/>
      <c r="I84" s="129"/>
      <c r="J84" s="210"/>
      <c r="K84" s="159"/>
    </row>
    <row r="85" spans="3:11" x14ac:dyDescent="0.2">
      <c r="C85" s="204" t="s">
        <v>56</v>
      </c>
      <c r="D85" s="120">
        <f>D82-D84</f>
        <v>18002.020000000004</v>
      </c>
      <c r="E85" s="206"/>
      <c r="H85" s="175" t="s">
        <v>168</v>
      </c>
      <c r="I85" s="208">
        <f>+D236</f>
        <v>1137.9420086987218</v>
      </c>
      <c r="J85" s="213"/>
      <c r="K85" s="159"/>
    </row>
    <row r="86" spans="3:11" ht="12" thickBot="1" x14ac:dyDescent="0.25">
      <c r="C86" s="204" t="s">
        <v>57</v>
      </c>
      <c r="D86" s="214">
        <f>VLOOKUP($D$82,$D$174:$G$184,4)</f>
        <v>0.23519999999999999</v>
      </c>
      <c r="E86" s="206"/>
      <c r="H86" s="184"/>
      <c r="I86" s="215"/>
      <c r="J86" s="216"/>
      <c r="K86" s="159"/>
    </row>
    <row r="87" spans="3:11" x14ac:dyDescent="0.2">
      <c r="C87" s="204" t="s">
        <v>58</v>
      </c>
      <c r="D87" s="120">
        <f>D85*D86</f>
        <v>4234.0751040000005</v>
      </c>
      <c r="E87" s="206"/>
      <c r="I87" s="217">
        <f>SUM(I79:I85)</f>
        <v>3918.3642607805141</v>
      </c>
      <c r="J87" s="218"/>
      <c r="K87" s="159"/>
    </row>
    <row r="88" spans="3:11" x14ac:dyDescent="0.2">
      <c r="C88" s="204" t="s">
        <v>59</v>
      </c>
      <c r="D88" s="120">
        <f>VLOOKUP($D$82,$D$174:$G$184,3)</f>
        <v>5665.16</v>
      </c>
      <c r="E88" s="206"/>
      <c r="J88" s="219"/>
      <c r="K88" s="159"/>
    </row>
    <row r="89" spans="3:11" x14ac:dyDescent="0.2">
      <c r="C89" s="204" t="s">
        <v>60</v>
      </c>
      <c r="D89" s="120">
        <f>D87+D88</f>
        <v>9899.2351039999994</v>
      </c>
      <c r="E89" s="206"/>
      <c r="J89" s="219"/>
      <c r="K89" s="159"/>
    </row>
    <row r="90" spans="3:11" x14ac:dyDescent="0.2">
      <c r="C90" s="204"/>
      <c r="D90" s="120"/>
      <c r="E90" s="206"/>
      <c r="I90" s="217"/>
      <c r="J90" s="220"/>
      <c r="K90" s="159"/>
    </row>
    <row r="91" spans="3:11" x14ac:dyDescent="0.2">
      <c r="C91" s="204" t="s">
        <v>61</v>
      </c>
      <c r="D91" s="205">
        <f>$J$55</f>
        <v>30.4</v>
      </c>
      <c r="E91" s="206"/>
      <c r="J91" s="221"/>
      <c r="K91" s="159"/>
    </row>
    <row r="92" spans="3:11" x14ac:dyDescent="0.2">
      <c r="C92" s="204" t="s">
        <v>62</v>
      </c>
      <c r="D92" s="205">
        <f>$D$9*$D$27</f>
        <v>14</v>
      </c>
      <c r="E92" s="206"/>
      <c r="J92" s="219"/>
      <c r="K92" s="159"/>
    </row>
    <row r="93" spans="3:11" x14ac:dyDescent="0.2">
      <c r="C93" s="204" t="s">
        <v>63</v>
      </c>
      <c r="D93" s="131">
        <f>ROUND(D89/D91*D92,2)</f>
        <v>4558.8599999999997</v>
      </c>
      <c r="E93" s="206"/>
      <c r="J93" s="219"/>
      <c r="K93" s="159"/>
    </row>
    <row r="94" spans="3:11" x14ac:dyDescent="0.2">
      <c r="C94" s="204" t="s">
        <v>113</v>
      </c>
      <c r="D94" s="131">
        <f>D30</f>
        <v>0</v>
      </c>
      <c r="E94" s="206"/>
      <c r="K94" s="159"/>
    </row>
    <row r="95" spans="3:11" x14ac:dyDescent="0.2">
      <c r="C95" s="204" t="s">
        <v>114</v>
      </c>
      <c r="D95" s="222">
        <f>D93-D94</f>
        <v>4558.8599999999997</v>
      </c>
      <c r="E95" s="206"/>
      <c r="I95" s="223"/>
      <c r="J95" s="224"/>
      <c r="K95" s="159"/>
    </row>
    <row r="96" spans="3:11" x14ac:dyDescent="0.2">
      <c r="C96" s="204"/>
      <c r="D96" s="120"/>
      <c r="E96" s="206"/>
      <c r="I96" s="225"/>
      <c r="J96" s="226"/>
      <c r="K96" s="159"/>
    </row>
    <row r="97" spans="3:11" x14ac:dyDescent="0.2">
      <c r="C97" s="227" t="s">
        <v>39</v>
      </c>
      <c r="D97" s="120"/>
      <c r="E97" s="206"/>
      <c r="J97" s="219"/>
      <c r="K97" s="159"/>
    </row>
    <row r="98" spans="3:11" x14ac:dyDescent="0.2">
      <c r="C98" s="204" t="s">
        <v>64</v>
      </c>
      <c r="D98" s="120">
        <f>D82</f>
        <v>53364.86</v>
      </c>
      <c r="E98" s="206"/>
      <c r="K98" s="159"/>
    </row>
    <row r="99" spans="3:11" x14ac:dyDescent="0.2">
      <c r="C99" s="228"/>
      <c r="D99" s="120"/>
      <c r="E99" s="206"/>
      <c r="J99" s="218"/>
      <c r="K99" s="159"/>
    </row>
    <row r="100" spans="3:11" x14ac:dyDescent="0.2">
      <c r="C100" s="204" t="s">
        <v>65</v>
      </c>
      <c r="D100" s="120">
        <f>IF( D98 &lt;= 0, 0, VLOOKUP(D98,$D$188:$F$198,3))</f>
        <v>0</v>
      </c>
      <c r="E100" s="206"/>
      <c r="K100" s="159"/>
    </row>
    <row r="101" spans="3:11" x14ac:dyDescent="0.2">
      <c r="C101" s="204"/>
      <c r="D101" s="120"/>
      <c r="E101" s="206"/>
      <c r="J101" s="218"/>
      <c r="K101" s="159"/>
    </row>
    <row r="102" spans="3:11" x14ac:dyDescent="0.2">
      <c r="C102" s="204" t="s">
        <v>66</v>
      </c>
      <c r="D102" s="205">
        <f>$J$55</f>
        <v>30.4</v>
      </c>
      <c r="E102" s="206"/>
      <c r="J102" s="218"/>
      <c r="K102" s="159"/>
    </row>
    <row r="103" spans="3:11" x14ac:dyDescent="0.2">
      <c r="C103" s="204" t="s">
        <v>62</v>
      </c>
      <c r="D103" s="205">
        <f>$D$9*$D$27</f>
        <v>14</v>
      </c>
      <c r="E103" s="206"/>
      <c r="J103" s="229"/>
      <c r="K103" s="159"/>
    </row>
    <row r="104" spans="3:11" x14ac:dyDescent="0.2">
      <c r="C104" s="204" t="s">
        <v>67</v>
      </c>
      <c r="D104" s="131">
        <f>ROUND(D100/D102*D103,2)</f>
        <v>0</v>
      </c>
      <c r="E104" s="206"/>
      <c r="J104" s="229"/>
    </row>
    <row r="105" spans="3:11" x14ac:dyDescent="0.2">
      <c r="C105" s="204" t="s">
        <v>117</v>
      </c>
      <c r="D105" s="131">
        <f>D31</f>
        <v>0</v>
      </c>
      <c r="E105" s="206"/>
      <c r="J105" s="229"/>
    </row>
    <row r="106" spans="3:11" ht="12" thickBot="1" x14ac:dyDescent="0.25">
      <c r="C106" s="230" t="s">
        <v>118</v>
      </c>
      <c r="D106" s="231">
        <f>D104-D105</f>
        <v>0</v>
      </c>
      <c r="E106" s="232"/>
      <c r="J106" s="229"/>
    </row>
    <row r="107" spans="3:11" x14ac:dyDescent="0.2">
      <c r="C107" s="124"/>
    </row>
    <row r="108" spans="3:11" hidden="1" x14ac:dyDescent="0.2">
      <c r="C108" s="124"/>
    </row>
    <row r="109" spans="3:11" ht="12" hidden="1" thickBot="1" x14ac:dyDescent="0.25">
      <c r="C109" s="196" t="s">
        <v>68</v>
      </c>
      <c r="D109" s="197"/>
      <c r="E109" s="197"/>
      <c r="F109" s="233"/>
      <c r="J109" s="229"/>
    </row>
    <row r="110" spans="3:11" hidden="1" x14ac:dyDescent="0.2">
      <c r="C110" s="204" t="s">
        <v>69</v>
      </c>
      <c r="D110" s="120">
        <f>IF( D119&lt;=0, 0, ROUND($D$19*$J$55,2))</f>
        <v>22874.36</v>
      </c>
      <c r="E110" s="120"/>
      <c r="F110" s="234"/>
    </row>
    <row r="111" spans="3:11" hidden="1" x14ac:dyDescent="0.2">
      <c r="C111" s="204" t="s">
        <v>54</v>
      </c>
      <c r="D111" s="120"/>
      <c r="E111" s="120"/>
      <c r="F111" s="234"/>
    </row>
    <row r="112" spans="3:11" hidden="1" x14ac:dyDescent="0.2">
      <c r="C112" s="204" t="s">
        <v>55</v>
      </c>
      <c r="D112" s="120">
        <f>VLOOKUP($D$110,$D$174:$G$181,1)</f>
        <v>17533.650000000001</v>
      </c>
      <c r="E112" s="120"/>
      <c r="F112" s="234"/>
    </row>
    <row r="113" spans="3:6" hidden="1" x14ac:dyDescent="0.2">
      <c r="C113" s="204" t="s">
        <v>56</v>
      </c>
      <c r="D113" s="120">
        <f>D110-D112</f>
        <v>5340.7099999999991</v>
      </c>
      <c r="E113" s="120"/>
      <c r="F113" s="234"/>
    </row>
    <row r="114" spans="3:6" hidden="1" x14ac:dyDescent="0.2">
      <c r="C114" s="204" t="s">
        <v>57</v>
      </c>
      <c r="D114" s="214">
        <f>VLOOKUP($D$110,$D$174:$G$181,4)</f>
        <v>0.21360000000000001</v>
      </c>
      <c r="E114" s="120"/>
      <c r="F114" s="234"/>
    </row>
    <row r="115" spans="3:6" hidden="1" x14ac:dyDescent="0.2">
      <c r="C115" s="204" t="s">
        <v>58</v>
      </c>
      <c r="D115" s="120">
        <f>D113*D114</f>
        <v>1140.7756559999998</v>
      </c>
      <c r="E115" s="120"/>
      <c r="F115" s="234"/>
    </row>
    <row r="116" spans="3:6" hidden="1" x14ac:dyDescent="0.2">
      <c r="C116" s="204" t="s">
        <v>59</v>
      </c>
      <c r="D116" s="120">
        <f>VLOOKUP($D$110,$D$174:$G$181,3)</f>
        <v>1856.84</v>
      </c>
      <c r="E116" s="120"/>
      <c r="F116" s="234"/>
    </row>
    <row r="117" spans="3:6" hidden="1" x14ac:dyDescent="0.2">
      <c r="C117" s="204" t="s">
        <v>70</v>
      </c>
      <c r="D117" s="120">
        <f>D115+D116</f>
        <v>2997.6156559999999</v>
      </c>
      <c r="E117" s="120" t="s">
        <v>71</v>
      </c>
      <c r="F117" s="234"/>
    </row>
    <row r="118" spans="3:6" hidden="1" x14ac:dyDescent="0.2">
      <c r="C118" s="228"/>
      <c r="D118" s="120"/>
      <c r="E118" s="120"/>
      <c r="F118" s="234"/>
    </row>
    <row r="119" spans="3:6" hidden="1" x14ac:dyDescent="0.2">
      <c r="C119" s="204" t="s">
        <v>72</v>
      </c>
      <c r="D119" s="120">
        <f>F71</f>
        <v>2290.8540893882964</v>
      </c>
      <c r="E119" s="120"/>
      <c r="F119" s="234"/>
    </row>
    <row r="120" spans="3:6" hidden="1" x14ac:dyDescent="0.2">
      <c r="C120" s="204" t="s">
        <v>73</v>
      </c>
      <c r="D120" s="205">
        <v>365</v>
      </c>
      <c r="E120" s="120"/>
      <c r="F120" s="234"/>
    </row>
    <row r="121" spans="3:6" hidden="1" x14ac:dyDescent="0.2">
      <c r="C121" s="204" t="s">
        <v>52</v>
      </c>
      <c r="D121" s="205">
        <f>$J$55</f>
        <v>30.4</v>
      </c>
      <c r="E121" s="120"/>
      <c r="F121" s="234"/>
    </row>
    <row r="122" spans="3:6" hidden="1" x14ac:dyDescent="0.2">
      <c r="C122" s="204" t="s">
        <v>74</v>
      </c>
      <c r="D122" s="120">
        <f>ROUND(D119/D120*D121,2)</f>
        <v>190.8</v>
      </c>
      <c r="E122" s="120"/>
      <c r="F122" s="234"/>
    </row>
    <row r="123" spans="3:6" hidden="1" x14ac:dyDescent="0.2">
      <c r="C123" s="204" t="s">
        <v>75</v>
      </c>
      <c r="D123" s="120">
        <f>D110</f>
        <v>22874.36</v>
      </c>
      <c r="E123" s="120"/>
      <c r="F123" s="234"/>
    </row>
    <row r="124" spans="3:6" hidden="1" x14ac:dyDescent="0.2">
      <c r="C124" s="204" t="s">
        <v>76</v>
      </c>
      <c r="D124" s="120">
        <f>D122+D123</f>
        <v>23065.16</v>
      </c>
      <c r="E124" s="120"/>
      <c r="F124" s="234"/>
    </row>
    <row r="125" spans="3:6" hidden="1" x14ac:dyDescent="0.2">
      <c r="C125" s="204" t="s">
        <v>54</v>
      </c>
      <c r="D125" s="120"/>
      <c r="E125" s="120"/>
      <c r="F125" s="234"/>
    </row>
    <row r="126" spans="3:6" hidden="1" x14ac:dyDescent="0.2">
      <c r="C126" s="204" t="s">
        <v>55</v>
      </c>
      <c r="D126" s="120">
        <f>VLOOKUP($D$124,$D$174:$G$181,1)</f>
        <v>17533.650000000001</v>
      </c>
      <c r="E126" s="120"/>
      <c r="F126" s="234"/>
    </row>
    <row r="127" spans="3:6" hidden="1" x14ac:dyDescent="0.2">
      <c r="C127" s="204" t="s">
        <v>56</v>
      </c>
      <c r="D127" s="120">
        <f>D124-D126</f>
        <v>5531.5099999999984</v>
      </c>
      <c r="E127" s="120"/>
      <c r="F127" s="234"/>
    </row>
    <row r="128" spans="3:6" hidden="1" x14ac:dyDescent="0.2">
      <c r="C128" s="204" t="s">
        <v>57</v>
      </c>
      <c r="D128" s="214">
        <f>VLOOKUP($D$124,$D$174:$G$181,4)</f>
        <v>0.21360000000000001</v>
      </c>
      <c r="E128" s="120"/>
      <c r="F128" s="234"/>
    </row>
    <row r="129" spans="3:6" hidden="1" x14ac:dyDescent="0.2">
      <c r="C129" s="204" t="s">
        <v>58</v>
      </c>
      <c r="D129" s="120">
        <f>D127*D128</f>
        <v>1181.5305359999998</v>
      </c>
      <c r="E129" s="120"/>
      <c r="F129" s="234"/>
    </row>
    <row r="130" spans="3:6" hidden="1" x14ac:dyDescent="0.2">
      <c r="C130" s="204" t="s">
        <v>59</v>
      </c>
      <c r="D130" s="120">
        <f>VLOOKUP($D$124,$D$174:$G$181,3)</f>
        <v>1856.84</v>
      </c>
      <c r="E130" s="120"/>
      <c r="F130" s="234"/>
    </row>
    <row r="131" spans="3:6" hidden="1" x14ac:dyDescent="0.2">
      <c r="C131" s="204" t="s">
        <v>60</v>
      </c>
      <c r="D131" s="120">
        <f>D129+D130</f>
        <v>3038.3705359999994</v>
      </c>
      <c r="E131" s="120" t="s">
        <v>77</v>
      </c>
      <c r="F131" s="234"/>
    </row>
    <row r="132" spans="3:6" hidden="1" x14ac:dyDescent="0.2">
      <c r="C132" s="204"/>
      <c r="D132" s="120"/>
      <c r="E132" s="120"/>
      <c r="F132" s="234"/>
    </row>
    <row r="133" spans="3:6" hidden="1" x14ac:dyDescent="0.2">
      <c r="C133" s="204" t="s">
        <v>78</v>
      </c>
      <c r="D133" s="120">
        <f>MAX( D131-D117, 0 )</f>
        <v>40.754879999999503</v>
      </c>
      <c r="E133" s="120" t="s">
        <v>79</v>
      </c>
      <c r="F133" s="234"/>
    </row>
    <row r="134" spans="3:6" hidden="1" x14ac:dyDescent="0.2">
      <c r="C134" s="204" t="s">
        <v>80</v>
      </c>
      <c r="D134" s="120">
        <f>D122</f>
        <v>190.8</v>
      </c>
      <c r="E134" s="120"/>
      <c r="F134" s="234"/>
    </row>
    <row r="135" spans="3:6" hidden="1" x14ac:dyDescent="0.2">
      <c r="C135" s="204" t="s">
        <v>81</v>
      </c>
      <c r="D135" s="214">
        <f>IF( D119 &lt;= 0, 0, D133/D134 )</f>
        <v>0.21359999999999738</v>
      </c>
      <c r="E135" s="120"/>
      <c r="F135" s="234"/>
    </row>
    <row r="136" spans="3:6" hidden="1" x14ac:dyDescent="0.2">
      <c r="C136" s="204" t="s">
        <v>82</v>
      </c>
      <c r="D136" s="120">
        <f>D119</f>
        <v>2290.8540893882964</v>
      </c>
      <c r="E136" s="120"/>
      <c r="F136" s="234"/>
    </row>
    <row r="137" spans="3:6" ht="12" hidden="1" thickBot="1" x14ac:dyDescent="0.25">
      <c r="C137" s="230" t="s">
        <v>83</v>
      </c>
      <c r="D137" s="235">
        <f>ROUND(D136*D135,2)</f>
        <v>489.33</v>
      </c>
      <c r="E137" s="236"/>
      <c r="F137" s="237"/>
    </row>
    <row r="138" spans="3:6" hidden="1" x14ac:dyDescent="0.2">
      <c r="C138" s="124"/>
    </row>
    <row r="139" spans="3:6" hidden="1" x14ac:dyDescent="0.2">
      <c r="C139" s="124"/>
    </row>
    <row r="140" spans="3:6" ht="12" hidden="1" thickBot="1" x14ac:dyDescent="0.25">
      <c r="C140" s="196" t="s">
        <v>84</v>
      </c>
      <c r="D140" s="197"/>
      <c r="E140" s="197"/>
      <c r="F140" s="233"/>
    </row>
    <row r="141" spans="3:6" hidden="1" x14ac:dyDescent="0.2">
      <c r="C141" s="204" t="s">
        <v>69</v>
      </c>
      <c r="D141" s="120">
        <f>IF( D150&lt;=0, 0, ROUND($D$19*$J$55,2))</f>
        <v>0</v>
      </c>
      <c r="E141" s="120"/>
      <c r="F141" s="234"/>
    </row>
    <row r="142" spans="3:6" hidden="1" x14ac:dyDescent="0.2">
      <c r="C142" s="204" t="s">
        <v>54</v>
      </c>
      <c r="D142" s="120"/>
      <c r="E142" s="120"/>
      <c r="F142" s="234"/>
    </row>
    <row r="143" spans="3:6" hidden="1" x14ac:dyDescent="0.2">
      <c r="C143" s="204" t="s">
        <v>55</v>
      </c>
      <c r="D143" s="120">
        <f>VLOOKUP($D$110,$D$174:$G$181,1)</f>
        <v>17533.650000000001</v>
      </c>
      <c r="E143" s="120"/>
      <c r="F143" s="234"/>
    </row>
    <row r="144" spans="3:6" hidden="1" x14ac:dyDescent="0.2">
      <c r="C144" s="204" t="s">
        <v>56</v>
      </c>
      <c r="D144" s="120">
        <f>D141-D143</f>
        <v>-17533.650000000001</v>
      </c>
      <c r="E144" s="120"/>
      <c r="F144" s="234"/>
    </row>
    <row r="145" spans="3:6" hidden="1" x14ac:dyDescent="0.2">
      <c r="C145" s="204" t="s">
        <v>57</v>
      </c>
      <c r="D145" s="214">
        <f>VLOOKUP($D$110,$D$174:$G$181,4)</f>
        <v>0.21360000000000001</v>
      </c>
      <c r="E145" s="120"/>
      <c r="F145" s="234"/>
    </row>
    <row r="146" spans="3:6" hidden="1" x14ac:dyDescent="0.2">
      <c r="C146" s="204" t="s">
        <v>58</v>
      </c>
      <c r="D146" s="120">
        <f>D144*D145</f>
        <v>-3745.1876400000006</v>
      </c>
      <c r="E146" s="120"/>
      <c r="F146" s="234"/>
    </row>
    <row r="147" spans="3:6" hidden="1" x14ac:dyDescent="0.2">
      <c r="C147" s="204" t="s">
        <v>59</v>
      </c>
      <c r="D147" s="120">
        <f>VLOOKUP($D$110,$D$174:$G$181,3)</f>
        <v>1856.84</v>
      </c>
      <c r="E147" s="120"/>
      <c r="F147" s="234"/>
    </row>
    <row r="148" spans="3:6" hidden="1" x14ac:dyDescent="0.2">
      <c r="C148" s="204" t="s">
        <v>70</v>
      </c>
      <c r="D148" s="120">
        <f>D146+D147</f>
        <v>-1888.3476400000006</v>
      </c>
      <c r="E148" s="120" t="s">
        <v>71</v>
      </c>
      <c r="F148" s="234"/>
    </row>
    <row r="149" spans="3:6" hidden="1" x14ac:dyDescent="0.2">
      <c r="C149" s="228"/>
      <c r="D149" s="120"/>
      <c r="E149" s="120"/>
      <c r="F149" s="234"/>
    </row>
    <row r="150" spans="3:6" hidden="1" x14ac:dyDescent="0.2">
      <c r="C150" s="204" t="s">
        <v>85</v>
      </c>
      <c r="D150" s="120">
        <f>F72</f>
        <v>0</v>
      </c>
      <c r="E150" s="120"/>
      <c r="F150" s="234"/>
    </row>
    <row r="151" spans="3:6" hidden="1" x14ac:dyDescent="0.2">
      <c r="C151" s="204" t="s">
        <v>73</v>
      </c>
      <c r="D151" s="205">
        <v>365</v>
      </c>
      <c r="E151" s="120"/>
      <c r="F151" s="234"/>
    </row>
    <row r="152" spans="3:6" hidden="1" x14ac:dyDescent="0.2">
      <c r="C152" s="204" t="s">
        <v>52</v>
      </c>
      <c r="D152" s="205">
        <f>$J$55</f>
        <v>30.4</v>
      </c>
      <c r="E152" s="120"/>
      <c r="F152" s="234"/>
    </row>
    <row r="153" spans="3:6" hidden="1" x14ac:dyDescent="0.2">
      <c r="C153" s="204" t="s">
        <v>74</v>
      </c>
      <c r="D153" s="120">
        <f>ROUND(D150/D151*D152,2)</f>
        <v>0</v>
      </c>
      <c r="E153" s="120"/>
      <c r="F153" s="234"/>
    </row>
    <row r="154" spans="3:6" hidden="1" x14ac:dyDescent="0.2">
      <c r="C154" s="204" t="s">
        <v>75</v>
      </c>
      <c r="D154" s="120">
        <f>D141</f>
        <v>0</v>
      </c>
      <c r="E154" s="120"/>
      <c r="F154" s="234"/>
    </row>
    <row r="155" spans="3:6" hidden="1" x14ac:dyDescent="0.2">
      <c r="C155" s="204" t="s">
        <v>76</v>
      </c>
      <c r="D155" s="120">
        <f>D153+D154</f>
        <v>0</v>
      </c>
      <c r="E155" s="120"/>
      <c r="F155" s="234"/>
    </row>
    <row r="156" spans="3:6" hidden="1" x14ac:dyDescent="0.2">
      <c r="C156" s="204" t="s">
        <v>54</v>
      </c>
      <c r="D156" s="120"/>
      <c r="E156" s="120"/>
      <c r="F156" s="234"/>
    </row>
    <row r="157" spans="3:6" hidden="1" x14ac:dyDescent="0.2">
      <c r="C157" s="204" t="s">
        <v>55</v>
      </c>
      <c r="D157" s="120" t="e">
        <f>VLOOKUP($D$155,$D$174:$G$181,1)</f>
        <v>#N/A</v>
      </c>
      <c r="E157" s="120"/>
      <c r="F157" s="234"/>
    </row>
    <row r="158" spans="3:6" hidden="1" x14ac:dyDescent="0.2">
      <c r="C158" s="204" t="s">
        <v>56</v>
      </c>
      <c r="D158" s="120" t="e">
        <f>D155-D157</f>
        <v>#N/A</v>
      </c>
      <c r="E158" s="120"/>
      <c r="F158" s="234"/>
    </row>
    <row r="159" spans="3:6" hidden="1" x14ac:dyDescent="0.2">
      <c r="C159" s="204" t="s">
        <v>57</v>
      </c>
      <c r="D159" s="214" t="e">
        <f>VLOOKUP($D$155,$D$174:$G$181,4)</f>
        <v>#N/A</v>
      </c>
      <c r="E159" s="120"/>
      <c r="F159" s="234"/>
    </row>
    <row r="160" spans="3:6" hidden="1" x14ac:dyDescent="0.2">
      <c r="C160" s="204" t="s">
        <v>58</v>
      </c>
      <c r="D160" s="120" t="e">
        <f>D158*D159</f>
        <v>#N/A</v>
      </c>
      <c r="E160" s="120"/>
      <c r="F160" s="234"/>
    </row>
    <row r="161" spans="3:20" hidden="1" x14ac:dyDescent="0.2">
      <c r="C161" s="204" t="s">
        <v>59</v>
      </c>
      <c r="D161" s="120" t="e">
        <f>VLOOKUP($D$155,$D$174:$G$181,3)</f>
        <v>#N/A</v>
      </c>
      <c r="E161" s="120"/>
      <c r="F161" s="234"/>
    </row>
    <row r="162" spans="3:20" hidden="1" x14ac:dyDescent="0.2">
      <c r="C162" s="204" t="s">
        <v>60</v>
      </c>
      <c r="D162" s="120" t="e">
        <f>D160+D161</f>
        <v>#N/A</v>
      </c>
      <c r="E162" s="120" t="s">
        <v>77</v>
      </c>
      <c r="F162" s="234"/>
    </row>
    <row r="163" spans="3:20" hidden="1" x14ac:dyDescent="0.2">
      <c r="C163" s="204"/>
      <c r="D163" s="120"/>
      <c r="E163" s="120"/>
      <c r="F163" s="234"/>
    </row>
    <row r="164" spans="3:20" hidden="1" x14ac:dyDescent="0.2">
      <c r="C164" s="204" t="s">
        <v>78</v>
      </c>
      <c r="D164" s="120" t="e">
        <f>MAX( D162-D148, 0 )</f>
        <v>#N/A</v>
      </c>
      <c r="E164" s="120" t="s">
        <v>79</v>
      </c>
      <c r="F164" s="234"/>
    </row>
    <row r="165" spans="3:20" hidden="1" x14ac:dyDescent="0.2">
      <c r="C165" s="204" t="s">
        <v>80</v>
      </c>
      <c r="D165" s="120">
        <f>D153</f>
        <v>0</v>
      </c>
      <c r="E165" s="120"/>
      <c r="F165" s="234"/>
    </row>
    <row r="166" spans="3:20" hidden="1" x14ac:dyDescent="0.2">
      <c r="C166" s="204" t="s">
        <v>81</v>
      </c>
      <c r="D166" s="214">
        <f>IF( D165 &lt;= 0, 0, D164/D165 )</f>
        <v>0</v>
      </c>
      <c r="E166" s="120"/>
      <c r="F166" s="234"/>
    </row>
    <row r="167" spans="3:20" hidden="1" x14ac:dyDescent="0.2">
      <c r="C167" s="204" t="s">
        <v>86</v>
      </c>
      <c r="D167" s="120">
        <f>D150</f>
        <v>0</v>
      </c>
      <c r="E167" s="120"/>
      <c r="F167" s="234"/>
    </row>
    <row r="168" spans="3:20" ht="12" hidden="1" thickBot="1" x14ac:dyDescent="0.25">
      <c r="C168" s="230" t="s">
        <v>87</v>
      </c>
      <c r="D168" s="238">
        <f>ROUND(D167*D166,2)</f>
        <v>0</v>
      </c>
      <c r="E168" s="236"/>
      <c r="F168" s="237"/>
    </row>
    <row r="169" spans="3:20" hidden="1" x14ac:dyDescent="0.2">
      <c r="C169" s="124"/>
    </row>
    <row r="170" spans="3:20" hidden="1" x14ac:dyDescent="0.2"/>
    <row r="173" spans="3:20" s="239" customFormat="1" x14ac:dyDescent="0.2">
      <c r="C173" s="239" t="s">
        <v>54</v>
      </c>
      <c r="D173" s="240" t="s">
        <v>88</v>
      </c>
      <c r="E173" s="240" t="s">
        <v>89</v>
      </c>
      <c r="F173" s="241" t="s">
        <v>13</v>
      </c>
      <c r="G173" s="241" t="s">
        <v>90</v>
      </c>
      <c r="H173" s="242"/>
      <c r="I173" s="294"/>
      <c r="J173" s="294"/>
      <c r="M173" s="242"/>
      <c r="N173" s="242"/>
      <c r="O173" s="242"/>
      <c r="P173" s="242"/>
      <c r="Q173" s="242"/>
      <c r="R173" s="242"/>
      <c r="S173" s="242"/>
      <c r="T173" s="242"/>
    </row>
    <row r="174" spans="3:20" x14ac:dyDescent="0.2">
      <c r="D174" s="150">
        <v>0.01</v>
      </c>
      <c r="E174" s="150">
        <v>844.59</v>
      </c>
      <c r="F174" s="150">
        <v>0</v>
      </c>
      <c r="G174" s="243">
        <v>1.9199999999999998E-2</v>
      </c>
      <c r="I174" s="120"/>
      <c r="J174" s="120"/>
      <c r="K174" s="120"/>
      <c r="L174" s="214"/>
      <c r="M174" s="293"/>
      <c r="N174" s="293"/>
      <c r="O174" s="293"/>
    </row>
    <row r="175" spans="3:20" x14ac:dyDescent="0.2">
      <c r="D175" s="150">
        <v>844.6</v>
      </c>
      <c r="E175" s="150">
        <v>7168.51</v>
      </c>
      <c r="F175" s="150">
        <v>16.22</v>
      </c>
      <c r="G175" s="243">
        <v>6.4000000000000001E-2</v>
      </c>
      <c r="I175" s="120"/>
      <c r="J175" s="120"/>
      <c r="K175" s="120"/>
      <c r="L175" s="214"/>
      <c r="M175" s="293"/>
      <c r="N175" s="293"/>
      <c r="O175" s="293"/>
    </row>
    <row r="176" spans="3:20" x14ac:dyDescent="0.2">
      <c r="D176" s="178">
        <v>7168.52</v>
      </c>
      <c r="E176" s="178">
        <v>12598.02</v>
      </c>
      <c r="F176" s="178">
        <v>420.95</v>
      </c>
      <c r="G176" s="244">
        <v>0.10879999999999999</v>
      </c>
      <c r="I176" s="131"/>
      <c r="J176" s="131"/>
      <c r="K176" s="131"/>
      <c r="L176" s="245"/>
      <c r="M176" s="293"/>
      <c r="N176" s="293"/>
      <c r="O176" s="293"/>
    </row>
    <row r="177" spans="3:20" x14ac:dyDescent="0.2">
      <c r="D177" s="150">
        <v>12598.03</v>
      </c>
      <c r="E177" s="150">
        <v>14644.64</v>
      </c>
      <c r="F177" s="150">
        <v>1011.68</v>
      </c>
      <c r="G177" s="243">
        <v>0.16</v>
      </c>
      <c r="I177" s="120"/>
      <c r="J177" s="120"/>
      <c r="K177" s="120"/>
      <c r="L177" s="214"/>
      <c r="M177" s="293"/>
      <c r="N177" s="293"/>
      <c r="O177" s="293"/>
    </row>
    <row r="178" spans="3:20" x14ac:dyDescent="0.2">
      <c r="D178" s="150">
        <v>14644.65</v>
      </c>
      <c r="E178" s="150">
        <v>17533.64</v>
      </c>
      <c r="F178" s="150">
        <v>1339.14</v>
      </c>
      <c r="G178" s="243">
        <v>0.1792</v>
      </c>
      <c r="I178" s="120"/>
      <c r="J178" s="120"/>
      <c r="K178" s="120"/>
      <c r="L178" s="214"/>
      <c r="M178" s="293"/>
      <c r="N178" s="293"/>
      <c r="O178" s="293"/>
    </row>
    <row r="179" spans="3:20" x14ac:dyDescent="0.2">
      <c r="D179" s="150">
        <v>17533.650000000001</v>
      </c>
      <c r="E179" s="150">
        <v>35362.83</v>
      </c>
      <c r="F179" s="178">
        <v>1856.84</v>
      </c>
      <c r="G179" s="244">
        <v>0.21360000000000001</v>
      </c>
      <c r="I179" s="120"/>
      <c r="J179" s="120"/>
      <c r="K179" s="131"/>
      <c r="L179" s="245"/>
      <c r="M179" s="293"/>
      <c r="N179" s="293"/>
      <c r="O179" s="293"/>
    </row>
    <row r="180" spans="3:20" x14ac:dyDescent="0.2">
      <c r="D180" s="150">
        <v>35362.839999999997</v>
      </c>
      <c r="E180" s="150">
        <v>55736.68</v>
      </c>
      <c r="F180" s="178">
        <v>5665.16</v>
      </c>
      <c r="G180" s="244">
        <v>0.23519999999999999</v>
      </c>
      <c r="I180" s="120"/>
      <c r="J180" s="120"/>
      <c r="K180" s="131"/>
      <c r="L180" s="245"/>
      <c r="M180" s="293"/>
      <c r="N180" s="293"/>
      <c r="O180" s="293"/>
    </row>
    <row r="181" spans="3:20" x14ac:dyDescent="0.2">
      <c r="D181" s="150">
        <v>55736.69</v>
      </c>
      <c r="E181" s="150">
        <v>106410.5</v>
      </c>
      <c r="F181" s="178">
        <v>10457.09</v>
      </c>
      <c r="G181" s="244">
        <v>0.3</v>
      </c>
      <c r="I181" s="120"/>
      <c r="J181" s="120"/>
      <c r="K181" s="131"/>
      <c r="L181" s="245"/>
      <c r="M181" s="293"/>
      <c r="N181" s="293"/>
      <c r="O181" s="293"/>
    </row>
    <row r="182" spans="3:20" x14ac:dyDescent="0.2">
      <c r="D182" s="150">
        <v>106410.51</v>
      </c>
      <c r="E182" s="150">
        <v>141880.66</v>
      </c>
      <c r="F182" s="178">
        <v>25659.23</v>
      </c>
      <c r="G182" s="244">
        <v>0.32</v>
      </c>
      <c r="I182" s="120"/>
      <c r="J182" s="120"/>
      <c r="K182" s="131"/>
      <c r="L182" s="245"/>
      <c r="M182" s="293"/>
      <c r="N182" s="293"/>
      <c r="O182" s="293"/>
    </row>
    <row r="183" spans="3:20" x14ac:dyDescent="0.2">
      <c r="D183" s="150">
        <v>141880.67000000001</v>
      </c>
      <c r="E183" s="150">
        <v>425641.99</v>
      </c>
      <c r="F183" s="178">
        <v>37009.69</v>
      </c>
      <c r="G183" s="244">
        <v>0.34</v>
      </c>
      <c r="I183" s="120"/>
      <c r="J183" s="120"/>
      <c r="K183" s="131"/>
      <c r="L183" s="245"/>
      <c r="M183" s="293"/>
      <c r="N183" s="293"/>
      <c r="O183" s="293"/>
    </row>
    <row r="184" spans="3:20" x14ac:dyDescent="0.2">
      <c r="D184" s="150">
        <v>425642</v>
      </c>
      <c r="E184" s="150" t="s">
        <v>232</v>
      </c>
      <c r="F184" s="178">
        <v>133488.54</v>
      </c>
      <c r="G184" s="244">
        <v>0.35</v>
      </c>
      <c r="I184" s="120"/>
      <c r="J184" s="120"/>
      <c r="K184" s="131"/>
      <c r="L184" s="245"/>
      <c r="M184" s="293"/>
      <c r="N184" s="293"/>
      <c r="O184" s="293"/>
    </row>
    <row r="185" spans="3:20" x14ac:dyDescent="0.2">
      <c r="D185" s="120"/>
      <c r="E185" s="120"/>
      <c r="F185" s="131"/>
      <c r="G185" s="245"/>
    </row>
    <row r="187" spans="3:20" s="239" customFormat="1" x14ac:dyDescent="0.2">
      <c r="C187" s="239" t="s">
        <v>91</v>
      </c>
      <c r="D187" s="240" t="s">
        <v>88</v>
      </c>
      <c r="E187" s="240" t="s">
        <v>89</v>
      </c>
      <c r="F187" s="241" t="s">
        <v>92</v>
      </c>
      <c r="H187" s="242"/>
      <c r="I187" s="129"/>
      <c r="J187" s="242"/>
      <c r="K187" s="242"/>
      <c r="L187" s="242"/>
      <c r="M187" s="242"/>
      <c r="N187" s="242"/>
      <c r="O187" s="242"/>
      <c r="P187" s="242"/>
      <c r="Q187" s="242"/>
      <c r="R187" s="242"/>
      <c r="S187" s="242"/>
      <c r="T187" s="242"/>
    </row>
    <row r="188" spans="3:20" x14ac:dyDescent="0.2">
      <c r="D188" s="150">
        <v>0.01</v>
      </c>
      <c r="E188" s="150">
        <v>11492.66</v>
      </c>
      <c r="F188" s="150">
        <v>536.22</v>
      </c>
    </row>
    <row r="189" spans="3:20" x14ac:dyDescent="0.2">
      <c r="D189" s="150">
        <v>11492.67</v>
      </c>
      <c r="E189" s="150">
        <v>0</v>
      </c>
      <c r="F189" s="150">
        <v>0</v>
      </c>
    </row>
    <row r="190" spans="3:20" x14ac:dyDescent="0.2">
      <c r="D190" s="150">
        <v>11492.67</v>
      </c>
      <c r="E190" s="150">
        <v>0</v>
      </c>
      <c r="F190" s="150">
        <v>0</v>
      </c>
    </row>
    <row r="191" spans="3:20" x14ac:dyDescent="0.2">
      <c r="D191" s="150">
        <v>11492.67</v>
      </c>
      <c r="E191" s="150">
        <v>0</v>
      </c>
      <c r="F191" s="150">
        <v>0</v>
      </c>
    </row>
    <row r="192" spans="3:20" x14ac:dyDescent="0.2">
      <c r="D192" s="150">
        <v>11492.67</v>
      </c>
      <c r="E192" s="150">
        <v>0</v>
      </c>
      <c r="F192" s="150">
        <v>0</v>
      </c>
    </row>
    <row r="193" spans="3:6" x14ac:dyDescent="0.2">
      <c r="D193" s="150">
        <v>11492.67</v>
      </c>
      <c r="E193" s="150">
        <v>0</v>
      </c>
      <c r="F193" s="150">
        <v>0</v>
      </c>
    </row>
    <row r="194" spans="3:6" x14ac:dyDescent="0.2">
      <c r="D194" s="150">
        <v>11492.67</v>
      </c>
      <c r="E194" s="150">
        <v>0</v>
      </c>
      <c r="F194" s="150">
        <v>0</v>
      </c>
    </row>
    <row r="195" spans="3:6" x14ac:dyDescent="0.2">
      <c r="D195" s="150">
        <v>11492.67</v>
      </c>
      <c r="E195" s="150">
        <v>0</v>
      </c>
      <c r="F195" s="150">
        <v>0</v>
      </c>
    </row>
    <row r="196" spans="3:6" x14ac:dyDescent="0.2">
      <c r="D196" s="150">
        <v>11492.67</v>
      </c>
      <c r="E196" s="150">
        <v>0</v>
      </c>
      <c r="F196" s="150">
        <v>0</v>
      </c>
    </row>
    <row r="197" spans="3:6" x14ac:dyDescent="0.2">
      <c r="D197" s="150">
        <v>11492.67</v>
      </c>
      <c r="E197" s="150">
        <v>0</v>
      </c>
      <c r="F197" s="150">
        <v>0</v>
      </c>
    </row>
    <row r="198" spans="3:6" x14ac:dyDescent="0.2">
      <c r="D198" s="150">
        <v>11492.67</v>
      </c>
      <c r="E198" s="150">
        <v>0</v>
      </c>
      <c r="F198" s="150">
        <v>0</v>
      </c>
    </row>
    <row r="200" spans="3:6" hidden="1" x14ac:dyDescent="0.2"/>
    <row r="201" spans="3:6" hidden="1" x14ac:dyDescent="0.2"/>
    <row r="202" spans="3:6" ht="12" hidden="1" thickBot="1" x14ac:dyDescent="0.25">
      <c r="C202" s="196" t="s">
        <v>94</v>
      </c>
      <c r="D202" s="197"/>
      <c r="E202" s="198"/>
    </row>
    <row r="203" spans="3:6" hidden="1" x14ac:dyDescent="0.2">
      <c r="C203" s="204" t="s">
        <v>93</v>
      </c>
      <c r="D203" s="120">
        <f>IF( $D$22=$L$22, $D$20, 0 )</f>
        <v>0</v>
      </c>
      <c r="E203" s="206"/>
    </row>
    <row r="204" spans="3:6" hidden="1" x14ac:dyDescent="0.2">
      <c r="C204" s="204" t="s">
        <v>95</v>
      </c>
      <c r="D204" s="246">
        <f>IF( $D$22=$L$22, $D$23/100, 0 )</f>
        <v>0</v>
      </c>
      <c r="E204" s="206"/>
    </row>
    <row r="205" spans="3:6" hidden="1" x14ac:dyDescent="0.2">
      <c r="C205" s="204" t="s">
        <v>96</v>
      </c>
      <c r="D205" s="247">
        <f>D203*D204</f>
        <v>0</v>
      </c>
      <c r="E205" s="206"/>
    </row>
    <row r="206" spans="3:6" hidden="1" x14ac:dyDescent="0.2">
      <c r="C206" s="204" t="s">
        <v>97</v>
      </c>
      <c r="D206" s="205">
        <f>$D$10</f>
        <v>14</v>
      </c>
      <c r="E206" s="206"/>
    </row>
    <row r="207" spans="3:6" hidden="1" x14ac:dyDescent="0.2">
      <c r="C207" s="204" t="s">
        <v>98</v>
      </c>
      <c r="D207" s="248">
        <f>ROUND(D205*D206,2)</f>
        <v>0</v>
      </c>
      <c r="E207" s="206"/>
    </row>
    <row r="208" spans="3:6" ht="12" hidden="1" thickBot="1" x14ac:dyDescent="0.25">
      <c r="C208" s="230"/>
      <c r="D208" s="236"/>
      <c r="E208" s="232"/>
    </row>
    <row r="209" spans="3:5" ht="12" hidden="1" thickBot="1" x14ac:dyDescent="0.25">
      <c r="C209" s="196" t="s">
        <v>99</v>
      </c>
      <c r="D209" s="197"/>
      <c r="E209" s="198"/>
    </row>
    <row r="210" spans="3:5" hidden="1" x14ac:dyDescent="0.2">
      <c r="C210" s="204" t="s">
        <v>100</v>
      </c>
      <c r="D210" s="120">
        <f>IF(D22=M22,D23,0)</f>
        <v>0</v>
      </c>
      <c r="E210" s="206"/>
    </row>
    <row r="211" spans="3:5" hidden="1" x14ac:dyDescent="0.2">
      <c r="C211" s="204" t="s">
        <v>101</v>
      </c>
      <c r="D211" s="205">
        <v>2</v>
      </c>
      <c r="E211" s="206"/>
    </row>
    <row r="212" spans="3:5" hidden="1" x14ac:dyDescent="0.2">
      <c r="C212" s="204" t="s">
        <v>102</v>
      </c>
      <c r="D212" s="120">
        <f>D210*D211</f>
        <v>0</v>
      </c>
      <c r="E212" s="206"/>
    </row>
    <row r="213" spans="3:5" hidden="1" x14ac:dyDescent="0.2">
      <c r="C213" s="204" t="s">
        <v>103</v>
      </c>
      <c r="D213" s="205">
        <f>D24</f>
        <v>61</v>
      </c>
      <c r="E213" s="206"/>
    </row>
    <row r="214" spans="3:5" hidden="1" x14ac:dyDescent="0.2">
      <c r="C214" s="204" t="s">
        <v>96</v>
      </c>
      <c r="D214" s="247">
        <f>D212/D213</f>
        <v>0</v>
      </c>
      <c r="E214" s="206"/>
    </row>
    <row r="215" spans="3:5" hidden="1" x14ac:dyDescent="0.2">
      <c r="C215" s="204" t="s">
        <v>97</v>
      </c>
      <c r="D215" s="205">
        <f>$D$10</f>
        <v>14</v>
      </c>
      <c r="E215" s="206"/>
    </row>
    <row r="216" spans="3:5" hidden="1" x14ac:dyDescent="0.2">
      <c r="C216" s="204" t="s">
        <v>98</v>
      </c>
      <c r="D216" s="248">
        <f>ROUND(D214*D215,2)</f>
        <v>0</v>
      </c>
      <c r="E216" s="206"/>
    </row>
    <row r="217" spans="3:5" ht="12" hidden="1" thickBot="1" x14ac:dyDescent="0.25">
      <c r="C217" s="249"/>
      <c r="D217" s="236"/>
      <c r="E217" s="232"/>
    </row>
    <row r="218" spans="3:5" ht="12" hidden="1" thickBot="1" x14ac:dyDescent="0.25">
      <c r="C218" s="196" t="s">
        <v>104</v>
      </c>
      <c r="D218" s="197"/>
      <c r="E218" s="198"/>
    </row>
    <row r="219" spans="3:5" hidden="1" x14ac:dyDescent="0.2">
      <c r="C219" s="204" t="s">
        <v>105</v>
      </c>
      <c r="D219" s="120">
        <f>$D$15</f>
        <v>315.04000000000002</v>
      </c>
      <c r="E219" s="206"/>
    </row>
    <row r="220" spans="3:5" hidden="1" x14ac:dyDescent="0.2">
      <c r="C220" s="204" t="s">
        <v>106</v>
      </c>
      <c r="D220" s="205">
        <f>IF(D22=N22,D23,0)</f>
        <v>0</v>
      </c>
      <c r="E220" s="206"/>
    </row>
    <row r="221" spans="3:5" hidden="1" x14ac:dyDescent="0.2">
      <c r="C221" s="204" t="s">
        <v>107</v>
      </c>
      <c r="D221" s="120">
        <f>ROUND(D219*D220,2)</f>
        <v>0</v>
      </c>
      <c r="E221" s="206"/>
    </row>
    <row r="222" spans="3:5" hidden="1" x14ac:dyDescent="0.2">
      <c r="C222" s="204" t="s">
        <v>101</v>
      </c>
      <c r="D222" s="205">
        <v>2</v>
      </c>
      <c r="E222" s="206"/>
    </row>
    <row r="223" spans="3:5" hidden="1" x14ac:dyDescent="0.2">
      <c r="C223" s="204" t="s">
        <v>102</v>
      </c>
      <c r="D223" s="120">
        <f>D221*D222</f>
        <v>0</v>
      </c>
      <c r="E223" s="206"/>
    </row>
    <row r="224" spans="3:5" hidden="1" x14ac:dyDescent="0.2">
      <c r="C224" s="204" t="s">
        <v>103</v>
      </c>
      <c r="D224" s="205">
        <f>$D$24</f>
        <v>61</v>
      </c>
      <c r="E224" s="206"/>
    </row>
    <row r="225" spans="3:6" hidden="1" x14ac:dyDescent="0.2">
      <c r="C225" s="204" t="s">
        <v>96</v>
      </c>
      <c r="D225" s="247">
        <f>D223/D224</f>
        <v>0</v>
      </c>
      <c r="E225" s="206"/>
    </row>
    <row r="226" spans="3:6" hidden="1" x14ac:dyDescent="0.2">
      <c r="C226" s="204" t="s">
        <v>97</v>
      </c>
      <c r="D226" s="205">
        <f>$D$10</f>
        <v>14</v>
      </c>
      <c r="E226" s="206"/>
    </row>
    <row r="227" spans="3:6" ht="12" hidden="1" thickBot="1" x14ac:dyDescent="0.25">
      <c r="C227" s="230" t="s">
        <v>98</v>
      </c>
      <c r="D227" s="250">
        <f>ROUND(D225*D226,2)</f>
        <v>0</v>
      </c>
      <c r="E227" s="232"/>
    </row>
    <row r="228" spans="3:6" x14ac:dyDescent="0.2">
      <c r="C228" s="508" t="s">
        <v>140</v>
      </c>
      <c r="D228" s="508"/>
      <c r="E228" s="508"/>
    </row>
    <row r="229" spans="3:6" x14ac:dyDescent="0.2">
      <c r="C229" s="115" t="s">
        <v>9</v>
      </c>
      <c r="D229" s="133">
        <f>+D20</f>
        <v>789.55282109589052</v>
      </c>
    </row>
    <row r="230" spans="3:6" x14ac:dyDescent="0.2">
      <c r="C230" s="115" t="s">
        <v>141</v>
      </c>
      <c r="D230" s="133">
        <f>+D229*0.05</f>
        <v>39.477641054794532</v>
      </c>
    </row>
    <row r="231" spans="3:6" x14ac:dyDescent="0.2">
      <c r="C231" s="251" t="s">
        <v>142</v>
      </c>
      <c r="D231" s="183">
        <f>+D230*14</f>
        <v>552.6869747671235</v>
      </c>
      <c r="E231" s="183"/>
    </row>
    <row r="235" spans="3:6" x14ac:dyDescent="0.2">
      <c r="C235" s="508" t="s">
        <v>143</v>
      </c>
      <c r="D235" s="508"/>
      <c r="E235" s="508"/>
    </row>
    <row r="236" spans="3:6" x14ac:dyDescent="0.2">
      <c r="C236" s="115" t="s">
        <v>144</v>
      </c>
      <c r="D236" s="133">
        <f>+D55*0.0458</f>
        <v>1137.9420086987218</v>
      </c>
    </row>
    <row r="238" spans="3:6" x14ac:dyDescent="0.2">
      <c r="D238" s="274">
        <v>3.2000000000000001E-2</v>
      </c>
      <c r="F238" s="115">
        <v>78.73</v>
      </c>
    </row>
    <row r="239" spans="3:6" x14ac:dyDescent="0.2">
      <c r="D239" s="133">
        <v>0.43</v>
      </c>
      <c r="F239" s="115">
        <v>120.19</v>
      </c>
    </row>
    <row r="240" spans="3:6" x14ac:dyDescent="0.2">
      <c r="D240" s="133">
        <f>+D238*D239</f>
        <v>1.376E-2</v>
      </c>
      <c r="F240" s="115">
        <f>+F238-F239</f>
        <v>-41.459999999999994</v>
      </c>
    </row>
    <row r="241" spans="4:4" x14ac:dyDescent="0.2">
      <c r="D241" s="275">
        <f>+D238+D240</f>
        <v>4.5760000000000002E-2</v>
      </c>
    </row>
  </sheetData>
  <sheetProtection selectLockedCells="1"/>
  <mergeCells count="8">
    <mergeCell ref="C235:E235"/>
    <mergeCell ref="I36:J36"/>
    <mergeCell ref="H78:J78"/>
    <mergeCell ref="C4:G4"/>
    <mergeCell ref="I6:I7"/>
    <mergeCell ref="C228:E228"/>
    <mergeCell ref="I48:J48"/>
    <mergeCell ref="C5:G5"/>
  </mergeCells>
  <phoneticPr fontId="15" type="noConversion"/>
  <dataValidations count="2">
    <dataValidation type="list" allowBlank="1" showInputMessage="1" showErrorMessage="1" errorTitle="Crédito INFONAVIT" error="Selecciona uno de los 4 Tipos de Crédito" sqref="D22" xr:uid="{00000000-0002-0000-0000-000000000000}">
      <formula1>$K$22:$N$22</formula1>
    </dataValidation>
    <dataValidation type="list" allowBlank="1" showInputMessage="1" showErrorMessage="1" sqref="D9" xr:uid="{00000000-0002-0000-0000-000001000000}">
      <formula1>$K$9:$N$9</formula1>
    </dataValidation>
  </dataValidations>
  <pageMargins left="0.75" right="0.75" top="1" bottom="1" header="0.5" footer="0.5"/>
  <pageSetup paperSize="9" scale="41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74D9-7916-7C48-B0D9-49FA01A69734}">
  <dimension ref="A1:C8"/>
  <sheetViews>
    <sheetView zoomScale="160" zoomScaleNormal="160" workbookViewId="0">
      <selection activeCell="D17" sqref="D17"/>
    </sheetView>
  </sheetViews>
  <sheetFormatPr defaultColWidth="11.42578125" defaultRowHeight="12.75" x14ac:dyDescent="0.2"/>
  <sheetData>
    <row r="1" spans="1:3" x14ac:dyDescent="0.2">
      <c r="A1">
        <v>2016</v>
      </c>
      <c r="B1">
        <v>73.040000000000006</v>
      </c>
    </row>
    <row r="2" spans="1:3" x14ac:dyDescent="0.2">
      <c r="A2">
        <v>2017</v>
      </c>
      <c r="B2">
        <v>75.489999999999995</v>
      </c>
      <c r="C2" s="39">
        <f>+B2-B1</f>
        <v>2.4499999999999886</v>
      </c>
    </row>
    <row r="3" spans="1:3" x14ac:dyDescent="0.2">
      <c r="A3">
        <v>2018</v>
      </c>
      <c r="B3">
        <v>80.599999999999994</v>
      </c>
      <c r="C3" s="39">
        <f t="shared" ref="C3:C8" si="0">+B3-B2</f>
        <v>5.1099999999999994</v>
      </c>
    </row>
    <row r="4" spans="1:3" x14ac:dyDescent="0.2">
      <c r="A4">
        <v>2019</v>
      </c>
      <c r="B4">
        <v>84.49</v>
      </c>
      <c r="C4" s="39">
        <f t="shared" si="0"/>
        <v>3.8900000000000006</v>
      </c>
    </row>
    <row r="5" spans="1:3" x14ac:dyDescent="0.2">
      <c r="A5">
        <v>2020</v>
      </c>
      <c r="B5">
        <v>86.88</v>
      </c>
      <c r="C5" s="39">
        <f t="shared" si="0"/>
        <v>2.3900000000000006</v>
      </c>
    </row>
    <row r="6" spans="1:3" x14ac:dyDescent="0.2">
      <c r="A6">
        <v>2021</v>
      </c>
      <c r="B6">
        <v>89.62</v>
      </c>
      <c r="C6" s="39">
        <f t="shared" si="0"/>
        <v>2.7400000000000091</v>
      </c>
    </row>
    <row r="7" spans="1:3" x14ac:dyDescent="0.2">
      <c r="A7">
        <v>2022</v>
      </c>
      <c r="B7">
        <v>96.22</v>
      </c>
      <c r="C7" s="39">
        <f t="shared" si="0"/>
        <v>6.5999999999999943</v>
      </c>
    </row>
    <row r="8" spans="1:3" x14ac:dyDescent="0.2">
      <c r="A8">
        <v>2023</v>
      </c>
      <c r="B8">
        <v>103.74</v>
      </c>
      <c r="C8" s="39">
        <f t="shared" si="0"/>
        <v>7.519999999999996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pageSetUpPr fitToPage="1"/>
  </sheetPr>
  <dimension ref="C1:U56"/>
  <sheetViews>
    <sheetView showGridLines="0" topLeftCell="C1" zoomScale="85" zoomScaleNormal="85" workbookViewId="0">
      <selection activeCell="D4" sqref="D4"/>
    </sheetView>
  </sheetViews>
  <sheetFormatPr defaultColWidth="9.140625" defaultRowHeight="12.75" x14ac:dyDescent="0.2"/>
  <cols>
    <col min="2" max="2" width="16.7109375" customWidth="1"/>
    <col min="3" max="3" width="42.28515625" bestFit="1" customWidth="1"/>
    <col min="4" max="4" width="13.7109375" bestFit="1" customWidth="1"/>
    <col min="5" max="5" width="31.42578125" bestFit="1" customWidth="1"/>
    <col min="7" max="7" width="14.5703125" bestFit="1" customWidth="1"/>
    <col min="8" max="8" width="12" bestFit="1" customWidth="1"/>
    <col min="9" max="9" width="13.28515625" bestFit="1" customWidth="1"/>
    <col min="10" max="10" width="19.28515625" customWidth="1"/>
    <col min="11" max="13" width="20" customWidth="1"/>
    <col min="14" max="14" width="18" bestFit="1" customWidth="1"/>
  </cols>
  <sheetData>
    <row r="1" spans="3:21" x14ac:dyDescent="0.2">
      <c r="E1" s="53" t="s">
        <v>188</v>
      </c>
    </row>
    <row r="2" spans="3:21" ht="18.75" x14ac:dyDescent="0.25">
      <c r="C2" s="519" t="s">
        <v>120</v>
      </c>
      <c r="D2" s="520"/>
      <c r="E2" s="54">
        <v>117.31</v>
      </c>
      <c r="G2" s="301" t="s">
        <v>243</v>
      </c>
    </row>
    <row r="3" spans="3:21" ht="18.75" x14ac:dyDescent="0.25">
      <c r="C3" s="52" t="s">
        <v>121</v>
      </c>
      <c r="D3" s="8">
        <f>+Calculo!D20</f>
        <v>789.55282109589052</v>
      </c>
      <c r="E3" s="8">
        <f>+D3</f>
        <v>789.55282109589052</v>
      </c>
      <c r="G3" s="302">
        <f>+E2*25</f>
        <v>2932.75</v>
      </c>
      <c r="H3" s="41"/>
      <c r="I3" s="23"/>
      <c r="N3" s="521" t="s">
        <v>186</v>
      </c>
      <c r="O3" s="521"/>
      <c r="P3" s="521"/>
      <c r="S3" s="521" t="s">
        <v>183</v>
      </c>
      <c r="T3" s="521"/>
      <c r="U3" s="521"/>
    </row>
    <row r="4" spans="3:21" ht="15.75" x14ac:dyDescent="0.25">
      <c r="C4" s="10" t="s">
        <v>122</v>
      </c>
      <c r="D4" s="11">
        <v>2.5000000000000001E-3</v>
      </c>
      <c r="E4" s="11">
        <v>7.0000000000000001E-3</v>
      </c>
      <c r="H4" s="41"/>
      <c r="N4" s="6" t="s">
        <v>185</v>
      </c>
      <c r="O4" s="45">
        <v>2021</v>
      </c>
      <c r="P4" s="6">
        <v>89.62</v>
      </c>
      <c r="S4" s="40" t="s">
        <v>185</v>
      </c>
      <c r="T4" s="6">
        <v>2020</v>
      </c>
      <c r="U4" s="7">
        <v>213.39</v>
      </c>
    </row>
    <row r="5" spans="3:21" ht="15.75" x14ac:dyDescent="0.25">
      <c r="C5" s="27" t="s">
        <v>152</v>
      </c>
      <c r="D5" s="12">
        <f>+D3*D4</f>
        <v>1.9738820527397263</v>
      </c>
      <c r="E5" s="12">
        <f>+E3*E4</f>
        <v>5.5268697476712338</v>
      </c>
      <c r="H5" s="42"/>
      <c r="I5" s="23"/>
      <c r="N5" s="6" t="s">
        <v>185</v>
      </c>
      <c r="O5" s="40" t="s">
        <v>191</v>
      </c>
      <c r="P5" s="6">
        <v>95.28</v>
      </c>
      <c r="S5" s="40" t="s">
        <v>185</v>
      </c>
      <c r="T5" s="6">
        <v>2019</v>
      </c>
      <c r="U5" s="7">
        <v>84.49</v>
      </c>
    </row>
    <row r="6" spans="3:21" x14ac:dyDescent="0.2">
      <c r="C6" s="10"/>
      <c r="D6" s="13"/>
      <c r="E6" s="13"/>
      <c r="S6" s="40" t="s">
        <v>185</v>
      </c>
      <c r="T6" s="6">
        <v>2019</v>
      </c>
      <c r="U6" s="7">
        <v>84.49</v>
      </c>
    </row>
    <row r="7" spans="3:21" x14ac:dyDescent="0.2">
      <c r="C7" s="10" t="s">
        <v>121</v>
      </c>
      <c r="D7" s="14">
        <f>+$D$3</f>
        <v>789.55282109589052</v>
      </c>
      <c r="E7" s="14">
        <f>+E3</f>
        <v>789.55282109589052</v>
      </c>
      <c r="I7" s="38"/>
      <c r="S7" s="6" t="s">
        <v>185</v>
      </c>
      <c r="T7" s="6">
        <v>2018</v>
      </c>
      <c r="U7" s="7">
        <v>88.36</v>
      </c>
    </row>
    <row r="8" spans="3:21" x14ac:dyDescent="0.2">
      <c r="C8" s="10" t="s">
        <v>184</v>
      </c>
      <c r="D8" s="13">
        <f>+E2*3</f>
        <v>351.93</v>
      </c>
      <c r="E8" s="13">
        <f>+E2*3</f>
        <v>351.93</v>
      </c>
      <c r="H8" s="23"/>
      <c r="N8" s="37"/>
      <c r="P8" s="3"/>
      <c r="S8" s="6" t="s">
        <v>185</v>
      </c>
      <c r="T8" s="6">
        <v>2017</v>
      </c>
      <c r="U8" s="7">
        <v>80.040000000000006</v>
      </c>
    </row>
    <row r="9" spans="3:21" x14ac:dyDescent="0.2">
      <c r="C9" s="10" t="s">
        <v>56</v>
      </c>
      <c r="D9" s="43">
        <f>+D7-D8</f>
        <v>437.62282109589052</v>
      </c>
      <c r="E9" s="43">
        <f>+E7-E8</f>
        <v>437.62282109589052</v>
      </c>
      <c r="P9" s="3"/>
    </row>
    <row r="10" spans="3:21" x14ac:dyDescent="0.2">
      <c r="C10" s="10" t="s">
        <v>123</v>
      </c>
      <c r="D10" s="15">
        <v>4.0000000000000001E-3</v>
      </c>
      <c r="E10" s="15">
        <v>1.0999999999999999E-2</v>
      </c>
      <c r="H10" s="44"/>
      <c r="K10" s="44"/>
      <c r="L10" t="s">
        <v>233</v>
      </c>
      <c r="M10" s="5">
        <v>117.31</v>
      </c>
      <c r="P10" s="3"/>
    </row>
    <row r="11" spans="3:21" ht="15" x14ac:dyDescent="0.25">
      <c r="C11" s="27" t="s">
        <v>124</v>
      </c>
      <c r="D11" s="12">
        <f>+D9*D10</f>
        <v>1.7504912843835621</v>
      </c>
      <c r="E11" s="12">
        <f>+E9*E10</f>
        <v>4.8138510320547958</v>
      </c>
      <c r="H11" s="37"/>
      <c r="J11" s="298"/>
      <c r="P11" s="4"/>
    </row>
    <row r="12" spans="3:21" ht="12.75" customHeight="1" x14ac:dyDescent="0.2">
      <c r="C12" s="10"/>
      <c r="D12" s="13"/>
      <c r="E12" s="13"/>
      <c r="H12" s="522" t="s">
        <v>226</v>
      </c>
      <c r="I12" s="523"/>
      <c r="J12" s="523"/>
      <c r="K12" s="523"/>
      <c r="L12" s="523"/>
      <c r="M12" s="523"/>
      <c r="N12" s="524"/>
    </row>
    <row r="13" spans="3:21" x14ac:dyDescent="0.2">
      <c r="C13" s="10" t="s">
        <v>121</v>
      </c>
      <c r="D13" s="14">
        <f>+$D$7</f>
        <v>789.55282109589052</v>
      </c>
      <c r="E13" s="14">
        <f>+E3</f>
        <v>789.55282109589052</v>
      </c>
      <c r="H13" s="525"/>
      <c r="I13" s="526"/>
      <c r="J13" s="526"/>
      <c r="K13" s="526"/>
      <c r="L13" s="526"/>
      <c r="M13" s="526"/>
      <c r="N13" s="527"/>
    </row>
    <row r="14" spans="3:21" x14ac:dyDescent="0.2">
      <c r="C14" s="10" t="s">
        <v>125</v>
      </c>
      <c r="D14" s="11">
        <v>3.7499999999999999E-3</v>
      </c>
      <c r="E14" s="11">
        <v>1.0500000000000001E-2</v>
      </c>
      <c r="H14" s="6" t="s">
        <v>227</v>
      </c>
      <c r="I14" s="6" t="s">
        <v>228</v>
      </c>
      <c r="J14" s="6" t="s">
        <v>229</v>
      </c>
      <c r="K14" s="299" t="s">
        <v>230</v>
      </c>
      <c r="L14" s="6" t="s">
        <v>229</v>
      </c>
      <c r="M14" s="299" t="s">
        <v>230</v>
      </c>
      <c r="N14" s="6" t="s">
        <v>231</v>
      </c>
    </row>
    <row r="15" spans="3:21" ht="15" x14ac:dyDescent="0.25">
      <c r="C15" s="27" t="s">
        <v>153</v>
      </c>
      <c r="D15" s="16">
        <f>+D13*D14</f>
        <v>2.9608230791095895</v>
      </c>
      <c r="E15" s="16">
        <f>+E13*E14</f>
        <v>8.2903046215068503</v>
      </c>
      <c r="H15" s="299">
        <v>0</v>
      </c>
      <c r="I15" s="299">
        <v>1</v>
      </c>
      <c r="J15" s="6">
        <v>0</v>
      </c>
      <c r="K15" s="299">
        <v>315.04000000000002</v>
      </c>
      <c r="L15" s="299">
        <v>0</v>
      </c>
      <c r="M15" s="299">
        <v>440.87</v>
      </c>
      <c r="N15" s="300">
        <v>3.15E-2</v>
      </c>
    </row>
    <row r="16" spans="3:21" ht="15" x14ac:dyDescent="0.2">
      <c r="C16" s="10"/>
      <c r="D16" s="13"/>
      <c r="E16" s="13"/>
      <c r="H16" s="297">
        <v>1.01</v>
      </c>
      <c r="I16" s="297">
        <v>1.5</v>
      </c>
      <c r="J16" s="25">
        <v>318.19040000000001</v>
      </c>
      <c r="K16" s="297">
        <v>175.965</v>
      </c>
      <c r="L16" s="297">
        <v>445.27870000000001</v>
      </c>
      <c r="M16" s="297">
        <v>175.965</v>
      </c>
      <c r="N16" s="300">
        <v>3.6760000000000001E-2</v>
      </c>
      <c r="P16" s="44"/>
      <c r="Q16" s="44"/>
      <c r="R16" s="44"/>
      <c r="S16" s="44"/>
    </row>
    <row r="17" spans="3:19" ht="15" x14ac:dyDescent="0.2">
      <c r="C17" s="10" t="s">
        <v>121</v>
      </c>
      <c r="D17" s="14">
        <f>+$D$3</f>
        <v>789.55282109589052</v>
      </c>
      <c r="E17" s="14">
        <f>+E3</f>
        <v>789.55282109589052</v>
      </c>
      <c r="H17" s="299">
        <v>1.51</v>
      </c>
      <c r="I17" s="299">
        <v>2</v>
      </c>
      <c r="J17" s="25">
        <v>177.13810000000001</v>
      </c>
      <c r="K17" s="297">
        <v>234.62</v>
      </c>
      <c r="L17" s="299">
        <v>177.13810000000001</v>
      </c>
      <c r="M17" s="297">
        <v>234.62</v>
      </c>
      <c r="N17" s="300">
        <v>4.8509999999999998E-2</v>
      </c>
      <c r="P17" s="44"/>
      <c r="Q17" s="44"/>
      <c r="R17" s="44"/>
      <c r="S17" s="44"/>
    </row>
    <row r="18" spans="3:19" ht="15" x14ac:dyDescent="0.2">
      <c r="C18" s="10" t="s">
        <v>126</v>
      </c>
      <c r="D18" s="17">
        <v>6.2500000000000003E-3</v>
      </c>
      <c r="E18" s="17">
        <v>1.7500000000000002E-2</v>
      </c>
      <c r="H18" s="299">
        <v>2.0099999999999998</v>
      </c>
      <c r="I18" s="299">
        <v>2.5</v>
      </c>
      <c r="J18" s="25">
        <v>235.79309999999998</v>
      </c>
      <c r="K18" s="297">
        <v>293.27499999999998</v>
      </c>
      <c r="L18" s="299">
        <v>235.79309999999998</v>
      </c>
      <c r="M18" s="297">
        <v>293.27499999999998</v>
      </c>
      <c r="N18" s="300">
        <v>5.5559999999999998E-2</v>
      </c>
      <c r="P18" s="44"/>
      <c r="Q18" s="44"/>
      <c r="R18" s="44"/>
      <c r="S18" s="44"/>
    </row>
    <row r="19" spans="3:19" ht="15" x14ac:dyDescent="0.25">
      <c r="C19" s="18" t="s">
        <v>127</v>
      </c>
      <c r="D19" s="19">
        <f>+D17*D18</f>
        <v>4.9347051318493165</v>
      </c>
      <c r="E19" s="19">
        <f>+E17*E18</f>
        <v>13.817174369178085</v>
      </c>
      <c r="H19" s="299">
        <v>2.5099999999999998</v>
      </c>
      <c r="I19" s="299">
        <v>3</v>
      </c>
      <c r="J19" s="25">
        <v>294.44809999999995</v>
      </c>
      <c r="K19" s="297">
        <v>351.93</v>
      </c>
      <c r="L19" s="299">
        <v>294.44809999999995</v>
      </c>
      <c r="M19" s="297">
        <v>351.93</v>
      </c>
      <c r="N19" s="300">
        <v>6.0260000000000001E-2</v>
      </c>
      <c r="Q19" s="44"/>
      <c r="R19" s="44"/>
      <c r="S19" s="44"/>
    </row>
    <row r="20" spans="3:19" ht="15" x14ac:dyDescent="0.25">
      <c r="C20" s="20"/>
      <c r="D20" s="21"/>
      <c r="E20" s="21"/>
      <c r="H20" s="299">
        <v>3.01</v>
      </c>
      <c r="I20" s="299">
        <v>3.5</v>
      </c>
      <c r="J20" s="25">
        <v>353.10309999999998</v>
      </c>
      <c r="K20" s="297">
        <v>410.58500000000004</v>
      </c>
      <c r="L20" s="299">
        <v>353.10309999999998</v>
      </c>
      <c r="M20" s="297">
        <v>410.58500000000004</v>
      </c>
      <c r="N20" s="300">
        <v>6.361E-2</v>
      </c>
      <c r="P20" s="44"/>
      <c r="Q20" s="44"/>
      <c r="R20" s="44"/>
      <c r="S20" s="44"/>
    </row>
    <row r="21" spans="3:19" ht="15" x14ac:dyDescent="0.2">
      <c r="C21" s="10" t="s">
        <v>121</v>
      </c>
      <c r="D21" s="14">
        <f>+$D$3</f>
        <v>789.55282109589052</v>
      </c>
      <c r="E21" s="14">
        <f>+E3</f>
        <v>789.55282109589052</v>
      </c>
      <c r="H21" s="299">
        <v>3.51</v>
      </c>
      <c r="I21" s="299">
        <v>4</v>
      </c>
      <c r="J21" s="25">
        <v>411.75809999999996</v>
      </c>
      <c r="K21" s="297">
        <v>469.24</v>
      </c>
      <c r="L21" s="299">
        <v>411.75809999999996</v>
      </c>
      <c r="M21" s="297">
        <v>469.24</v>
      </c>
      <c r="N21" s="300">
        <v>6.6129999999999994E-2</v>
      </c>
      <c r="P21" s="44"/>
      <c r="Q21" s="44"/>
      <c r="R21" s="44"/>
      <c r="S21" s="44"/>
    </row>
    <row r="22" spans="3:19" ht="15" x14ac:dyDescent="0.2">
      <c r="C22" s="10" t="s">
        <v>128</v>
      </c>
      <c r="D22" s="17">
        <v>1.125E-2</v>
      </c>
      <c r="E22" s="17">
        <v>0.02</v>
      </c>
      <c r="H22" s="299">
        <v>4.01</v>
      </c>
      <c r="I22" s="299" t="s">
        <v>232</v>
      </c>
      <c r="J22" s="25">
        <v>470.41309999999999</v>
      </c>
      <c r="K22" s="299">
        <v>2932.75</v>
      </c>
      <c r="L22" s="299">
        <v>470.41309999999999</v>
      </c>
      <c r="M22" s="299">
        <v>2932.75</v>
      </c>
      <c r="N22" s="300">
        <v>7.5130000000000002E-2</v>
      </c>
    </row>
    <row r="23" spans="3:19" ht="15" x14ac:dyDescent="0.25">
      <c r="C23" s="10" t="s">
        <v>129</v>
      </c>
      <c r="D23" s="12">
        <f>+D21*D22</f>
        <v>8.8824692373287686</v>
      </c>
      <c r="E23" s="12">
        <f>+E21*E22</f>
        <v>15.79105642191781</v>
      </c>
    </row>
    <row r="24" spans="3:19" ht="15" x14ac:dyDescent="0.25">
      <c r="C24" s="10"/>
      <c r="D24" s="268"/>
      <c r="E24" s="268"/>
      <c r="I24" t="s">
        <v>234</v>
      </c>
      <c r="L24" s="44"/>
    </row>
    <row r="25" spans="3:19" ht="15" x14ac:dyDescent="0.25">
      <c r="C25" s="10" t="s">
        <v>121</v>
      </c>
      <c r="D25" s="12"/>
      <c r="E25" s="12">
        <f>+E3</f>
        <v>789.55282109589052</v>
      </c>
      <c r="I25" s="37"/>
    </row>
    <row r="26" spans="3:19" ht="15" x14ac:dyDescent="0.25">
      <c r="C26" s="10" t="s">
        <v>128</v>
      </c>
      <c r="D26" s="268"/>
      <c r="E26" s="17">
        <f>VLOOKUP(E25,$L$15:$N$22,3)</f>
        <v>7.5130000000000002E-2</v>
      </c>
      <c r="H26" s="269"/>
    </row>
    <row r="27" spans="3:19" ht="15" x14ac:dyDescent="0.25">
      <c r="C27" s="10" t="s">
        <v>129</v>
      </c>
      <c r="D27" s="12"/>
      <c r="E27" s="12">
        <f>+E25*E26</f>
        <v>59.319103448934257</v>
      </c>
      <c r="I27" t="s">
        <v>235</v>
      </c>
      <c r="M27" s="44"/>
    </row>
    <row r="28" spans="3:19" x14ac:dyDescent="0.2">
      <c r="C28" s="10"/>
      <c r="D28" s="6"/>
      <c r="E28" s="6"/>
      <c r="I28" t="s">
        <v>236</v>
      </c>
      <c r="K28" s="23"/>
      <c r="L28" s="23"/>
      <c r="M28" s="23"/>
    </row>
    <row r="29" spans="3:19" x14ac:dyDescent="0.2">
      <c r="C29" s="10" t="s">
        <v>121</v>
      </c>
      <c r="D29" s="6"/>
      <c r="E29" s="25">
        <f>+E3</f>
        <v>789.55282109589052</v>
      </c>
      <c r="I29" t="s">
        <v>237</v>
      </c>
    </row>
    <row r="30" spans="3:19" x14ac:dyDescent="0.2">
      <c r="C30" s="27" t="s">
        <v>149</v>
      </c>
      <c r="D30" s="22"/>
      <c r="E30" s="26">
        <v>0.01</v>
      </c>
      <c r="K30" s="5"/>
      <c r="L30" s="5"/>
      <c r="M30" s="5"/>
    </row>
    <row r="31" spans="3:19" x14ac:dyDescent="0.2">
      <c r="C31" s="27" t="s">
        <v>154</v>
      </c>
      <c r="D31" s="30">
        <v>0</v>
      </c>
      <c r="E31" s="29">
        <f>+E29*E30</f>
        <v>7.8955282109589051</v>
      </c>
      <c r="K31" s="47"/>
      <c r="L31" s="47"/>
      <c r="M31" s="47"/>
    </row>
    <row r="32" spans="3:19" ht="12.75" customHeight="1" x14ac:dyDescent="0.2">
      <c r="C32" s="10"/>
      <c r="D32" s="22"/>
      <c r="E32" s="6"/>
    </row>
    <row r="33" spans="3:7" x14ac:dyDescent="0.2">
      <c r="C33" s="27" t="s">
        <v>155</v>
      </c>
      <c r="D33" s="22"/>
      <c r="E33" s="51">
        <f>+E2</f>
        <v>117.31</v>
      </c>
      <c r="G33" s="44"/>
    </row>
    <row r="34" spans="3:7" x14ac:dyDescent="0.2">
      <c r="C34" s="27" t="s">
        <v>13</v>
      </c>
      <c r="D34" s="22"/>
      <c r="E34" s="28">
        <v>0.20399999999999999</v>
      </c>
    </row>
    <row r="35" spans="3:7" x14ac:dyDescent="0.2">
      <c r="C35" s="27" t="s">
        <v>156</v>
      </c>
      <c r="D35" s="30">
        <v>0</v>
      </c>
      <c r="E35" s="29">
        <f>+E33*E34</f>
        <v>23.931239999999999</v>
      </c>
    </row>
    <row r="36" spans="3:7" x14ac:dyDescent="0.2">
      <c r="C36" s="27"/>
      <c r="D36" s="22"/>
      <c r="E36" s="22"/>
    </row>
    <row r="37" spans="3:7" x14ac:dyDescent="0.2">
      <c r="C37" s="10" t="s">
        <v>121</v>
      </c>
      <c r="D37" s="22"/>
      <c r="E37" s="22">
        <f>+E3</f>
        <v>789.55282109589052</v>
      </c>
    </row>
    <row r="38" spans="3:7" ht="15.75" thickBot="1" x14ac:dyDescent="0.25">
      <c r="C38" s="27" t="s">
        <v>157</v>
      </c>
      <c r="D38" s="22"/>
      <c r="E38" s="46">
        <v>2.5000000000000001E-2</v>
      </c>
      <c r="G38" s="49">
        <v>0.5</v>
      </c>
    </row>
    <row r="39" spans="3:7" x14ac:dyDescent="0.2">
      <c r="C39" s="27" t="s">
        <v>158</v>
      </c>
      <c r="D39" s="30">
        <v>0</v>
      </c>
      <c r="E39" s="29">
        <f>+E37*E38</f>
        <v>19.738820527397266</v>
      </c>
    </row>
    <row r="40" spans="3:7" x14ac:dyDescent="0.2">
      <c r="C40" s="27"/>
      <c r="D40" s="22"/>
      <c r="E40" s="22"/>
    </row>
    <row r="41" spans="3:7" x14ac:dyDescent="0.2">
      <c r="C41" s="27"/>
      <c r="D41" s="6"/>
      <c r="E41" s="22"/>
    </row>
    <row r="42" spans="3:7" x14ac:dyDescent="0.2">
      <c r="C42" s="27"/>
      <c r="D42" s="6"/>
      <c r="E42" s="22"/>
    </row>
    <row r="43" spans="3:7" ht="15" x14ac:dyDescent="0.25">
      <c r="C43" s="27" t="s">
        <v>159</v>
      </c>
      <c r="D43" s="12">
        <f>+D5</f>
        <v>1.9738820527397263</v>
      </c>
      <c r="E43" s="12">
        <f>+E5</f>
        <v>5.5268697476712338</v>
      </c>
    </row>
    <row r="44" spans="3:7" ht="15" x14ac:dyDescent="0.25">
      <c r="C44" s="27" t="s">
        <v>160</v>
      </c>
      <c r="D44" s="12">
        <f>+D11</f>
        <v>1.7504912843835621</v>
      </c>
      <c r="E44" s="12">
        <f>+E11</f>
        <v>4.8138510320547958</v>
      </c>
    </row>
    <row r="45" spans="3:7" ht="15" x14ac:dyDescent="0.25">
      <c r="C45" s="27" t="s">
        <v>161</v>
      </c>
      <c r="D45" s="12">
        <f>+D15</f>
        <v>2.9608230791095895</v>
      </c>
      <c r="E45" s="12">
        <f>+E15</f>
        <v>8.2903046215068503</v>
      </c>
    </row>
    <row r="46" spans="3:7" ht="15" x14ac:dyDescent="0.25">
      <c r="C46" s="10" t="s">
        <v>130</v>
      </c>
      <c r="D46" s="12">
        <f>+D19</f>
        <v>4.9347051318493165</v>
      </c>
      <c r="E46" s="12">
        <f>+E19</f>
        <v>13.817174369178085</v>
      </c>
    </row>
    <row r="47" spans="3:7" ht="15" x14ac:dyDescent="0.25">
      <c r="C47" s="10" t="s">
        <v>131</v>
      </c>
      <c r="D47" s="12">
        <f>+D23</f>
        <v>8.8824692373287686</v>
      </c>
      <c r="E47" s="12">
        <v>0</v>
      </c>
    </row>
    <row r="48" spans="3:7" ht="15" x14ac:dyDescent="0.25">
      <c r="C48" s="27" t="s">
        <v>163</v>
      </c>
      <c r="D48" s="12">
        <f>+D35</f>
        <v>0</v>
      </c>
      <c r="E48" s="12">
        <f>+E35</f>
        <v>23.931239999999999</v>
      </c>
    </row>
    <row r="49" spans="3:5" ht="15" x14ac:dyDescent="0.25">
      <c r="C49" s="27" t="s">
        <v>150</v>
      </c>
      <c r="D49" s="12">
        <v>0</v>
      </c>
      <c r="E49" s="12">
        <f>+E31</f>
        <v>7.8955282109589051</v>
      </c>
    </row>
    <row r="50" spans="3:5" ht="15" x14ac:dyDescent="0.25">
      <c r="C50" s="27" t="s">
        <v>162</v>
      </c>
      <c r="D50" s="12">
        <v>0</v>
      </c>
      <c r="E50" s="12">
        <f>+E39</f>
        <v>19.738820527397266</v>
      </c>
    </row>
    <row r="51" spans="3:5" ht="15" x14ac:dyDescent="0.25">
      <c r="C51" s="10" t="s">
        <v>132</v>
      </c>
      <c r="D51" s="12">
        <f>SUM(D43:D50)</f>
        <v>20.50237078541096</v>
      </c>
      <c r="E51" s="12">
        <f>SUM(E43:E50)</f>
        <v>84.013788508767135</v>
      </c>
    </row>
    <row r="52" spans="3:5" x14ac:dyDescent="0.2">
      <c r="C52" s="10"/>
      <c r="D52" s="6"/>
      <c r="E52" s="6"/>
    </row>
    <row r="53" spans="3:5" x14ac:dyDescent="0.2">
      <c r="C53" s="10" t="s">
        <v>133</v>
      </c>
      <c r="D53" s="6">
        <f>+Calculo!D9</f>
        <v>14</v>
      </c>
      <c r="E53" s="6">
        <f>+D53</f>
        <v>14</v>
      </c>
    </row>
    <row r="54" spans="3:5" ht="15" x14ac:dyDescent="0.25">
      <c r="C54" s="10" t="s">
        <v>134</v>
      </c>
      <c r="D54" s="12">
        <f>+D51*D53</f>
        <v>287.03319099575344</v>
      </c>
      <c r="E54" s="12">
        <f>+E51*E53</f>
        <v>1176.1930391227399</v>
      </c>
    </row>
    <row r="55" spans="3:5" x14ac:dyDescent="0.2">
      <c r="C55" s="9"/>
    </row>
    <row r="56" spans="3:5" x14ac:dyDescent="0.2">
      <c r="C56" s="10" t="s">
        <v>151</v>
      </c>
      <c r="D56" s="6"/>
      <c r="E56" s="31">
        <f>(E23+E27)*14</f>
        <v>1051.5422381919291</v>
      </c>
    </row>
  </sheetData>
  <mergeCells count="4">
    <mergeCell ref="C2:D2"/>
    <mergeCell ref="N3:P3"/>
    <mergeCell ref="S3:U3"/>
    <mergeCell ref="H12:N13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3:H57"/>
  <sheetViews>
    <sheetView showGridLines="0" topLeftCell="A16" zoomScale="180" zoomScaleNormal="180" workbookViewId="0">
      <selection activeCell="D31" sqref="D31"/>
    </sheetView>
  </sheetViews>
  <sheetFormatPr defaultColWidth="9.140625" defaultRowHeight="12.75" x14ac:dyDescent="0.2"/>
  <cols>
    <col min="2" max="2" width="10.28515625" bestFit="1" customWidth="1"/>
    <col min="3" max="3" width="26.85546875" bestFit="1" customWidth="1"/>
    <col min="4" max="4" width="13.42578125" customWidth="1"/>
    <col min="5" max="5" width="11" bestFit="1" customWidth="1"/>
    <col min="6" max="7" width="11.140625" bestFit="1" customWidth="1"/>
  </cols>
  <sheetData>
    <row r="3" spans="2:5" x14ac:dyDescent="0.2">
      <c r="B3" s="528" t="s">
        <v>179</v>
      </c>
      <c r="C3" s="528"/>
      <c r="D3" s="528"/>
    </row>
    <row r="5" spans="2:5" x14ac:dyDescent="0.2">
      <c r="B5" s="23" t="s">
        <v>172</v>
      </c>
    </row>
    <row r="6" spans="2:5" x14ac:dyDescent="0.2">
      <c r="C6" t="s">
        <v>20</v>
      </c>
      <c r="D6" s="32">
        <f>+Calculo!D35</f>
        <v>9029.3508000000002</v>
      </c>
    </row>
    <row r="7" spans="2:5" x14ac:dyDescent="0.2">
      <c r="C7" t="s">
        <v>169</v>
      </c>
      <c r="D7" s="32">
        <f>+Calculo!D36</f>
        <v>1504.8918000000001</v>
      </c>
    </row>
    <row r="8" spans="2:5" x14ac:dyDescent="0.2">
      <c r="C8" t="str">
        <f>+Calculo!C44</f>
        <v>Prima Vacacional</v>
      </c>
      <c r="D8" s="32">
        <f>+Calculo!D44</f>
        <v>173.37463133640554</v>
      </c>
    </row>
    <row r="9" spans="2:5" x14ac:dyDescent="0.2">
      <c r="C9" t="str">
        <f>+Calculo!C45</f>
        <v>Aguinaldo</v>
      </c>
      <c r="D9" s="32">
        <f>+Calculo!D45</f>
        <v>866.87315668202768</v>
      </c>
    </row>
    <row r="10" spans="2:5" x14ac:dyDescent="0.2">
      <c r="C10" t="str">
        <f>+Calculo!C46</f>
        <v>Reparto de Utilidades (PTU)</v>
      </c>
      <c r="D10" s="32">
        <f>+Calculo!D46</f>
        <v>1520.58</v>
      </c>
    </row>
    <row r="11" spans="2:5" x14ac:dyDescent="0.2">
      <c r="C11" t="str">
        <f>+Calculo!C47</f>
        <v>Bono fondo de ahorro</v>
      </c>
      <c r="D11" s="32">
        <f>+Calculo!D47</f>
        <v>527.05870658154004</v>
      </c>
    </row>
    <row r="12" spans="2:5" x14ac:dyDescent="0.2">
      <c r="C12" t="str">
        <f>+Calculo!C48</f>
        <v>Bono vale de despesa</v>
      </c>
      <c r="D12" s="32">
        <f>+Calculo!D48</f>
        <v>527.05870658154004</v>
      </c>
    </row>
    <row r="13" spans="2:5" x14ac:dyDescent="0.2">
      <c r="C13" t="str">
        <f>+Calculo!C49</f>
        <v>Internet</v>
      </c>
      <c r="D13" s="32">
        <f>+Calculo!D49</f>
        <v>138.25</v>
      </c>
    </row>
    <row r="14" spans="2:5" x14ac:dyDescent="0.2">
      <c r="C14" t="str">
        <f>+Calculo!C50</f>
        <v>Bono Navideño</v>
      </c>
      <c r="D14" s="32">
        <f>+Calculo!D50</f>
        <v>17.28</v>
      </c>
    </row>
    <row r="15" spans="2:5" x14ac:dyDescent="0.2">
      <c r="C15" t="str">
        <f>+Calculo!C51</f>
        <v>Bono de desempeño mensual</v>
      </c>
      <c r="D15" s="32">
        <f>+Calculo!D51</f>
        <v>10541.177585253457</v>
      </c>
    </row>
    <row r="16" spans="2:5" x14ac:dyDescent="0.2">
      <c r="C16" s="111" t="s">
        <v>177</v>
      </c>
      <c r="D16" s="112">
        <f>SUM(D6:D15)</f>
        <v>24845.895386434971</v>
      </c>
      <c r="E16" s="39"/>
    </row>
    <row r="18" spans="2:8" x14ac:dyDescent="0.2">
      <c r="B18" s="23" t="s">
        <v>173</v>
      </c>
    </row>
    <row r="19" spans="2:8" x14ac:dyDescent="0.2">
      <c r="C19" s="24" t="s">
        <v>137</v>
      </c>
      <c r="D19" s="32">
        <f>+Calculo!D61</f>
        <v>287.03319099575344</v>
      </c>
    </row>
    <row r="20" spans="2:8" x14ac:dyDescent="0.2">
      <c r="C20" s="24" t="s">
        <v>174</v>
      </c>
      <c r="D20" s="32">
        <f>+Calculo!D58</f>
        <v>4558.8599999999997</v>
      </c>
    </row>
    <row r="21" spans="2:8" x14ac:dyDescent="0.2">
      <c r="C21" s="24" t="s">
        <v>175</v>
      </c>
      <c r="D21" s="2">
        <v>0</v>
      </c>
    </row>
    <row r="22" spans="2:8" x14ac:dyDescent="0.2">
      <c r="C22" s="24" t="s">
        <v>176</v>
      </c>
      <c r="D22" s="36">
        <f>SUM(D19:D21)</f>
        <v>4845.8931909957528</v>
      </c>
    </row>
    <row r="23" spans="2:8" x14ac:dyDescent="0.2">
      <c r="H23" s="37"/>
    </row>
    <row r="25" spans="2:8" x14ac:dyDescent="0.2">
      <c r="C25" s="34" t="s">
        <v>178</v>
      </c>
      <c r="D25" s="59">
        <f>+D16-D22</f>
        <v>20000.002195439218</v>
      </c>
    </row>
    <row r="26" spans="2:8" x14ac:dyDescent="0.2">
      <c r="C26" s="37" t="s">
        <v>189</v>
      </c>
      <c r="D26" s="39">
        <f>+Calculo!D64</f>
        <v>0</v>
      </c>
    </row>
    <row r="27" spans="2:8" x14ac:dyDescent="0.2">
      <c r="C27" s="60" t="s">
        <v>206</v>
      </c>
      <c r="D27" s="61">
        <f>+D25+D26</f>
        <v>20000.002195439218</v>
      </c>
      <c r="E27" s="39"/>
      <c r="F27" s="35"/>
    </row>
    <row r="28" spans="2:8" x14ac:dyDescent="0.2">
      <c r="B28" s="23" t="s">
        <v>180</v>
      </c>
    </row>
    <row r="29" spans="2:8" x14ac:dyDescent="0.2">
      <c r="C29" s="24" t="s">
        <v>181</v>
      </c>
      <c r="D29" s="32">
        <f>+Calculo!I79</f>
        <v>1176.1930391227399</v>
      </c>
    </row>
    <row r="30" spans="2:8" x14ac:dyDescent="0.2">
      <c r="C30" s="24" t="s">
        <v>166</v>
      </c>
      <c r="D30" s="32">
        <f>+Calculo!I81</f>
        <v>552.6869747671235</v>
      </c>
      <c r="G30" s="32"/>
    </row>
    <row r="31" spans="2:8" x14ac:dyDescent="0.2">
      <c r="C31" s="24" t="s">
        <v>167</v>
      </c>
      <c r="D31" s="35">
        <f>+Calculo!I83</f>
        <v>1051.5422381919291</v>
      </c>
    </row>
    <row r="32" spans="2:8" x14ac:dyDescent="0.2">
      <c r="C32" s="24" t="s">
        <v>168</v>
      </c>
      <c r="D32" s="33">
        <f>+Calculo!I85</f>
        <v>1137.9420086987218</v>
      </c>
      <c r="G32" s="32"/>
    </row>
    <row r="33" spans="1:7" x14ac:dyDescent="0.2">
      <c r="C33" s="24" t="s">
        <v>182</v>
      </c>
      <c r="D33" s="36">
        <f>SUM(D29:D32)</f>
        <v>3918.3642607805141</v>
      </c>
      <c r="G33" s="32"/>
    </row>
    <row r="34" spans="1:7" x14ac:dyDescent="0.2">
      <c r="G34" s="32"/>
    </row>
    <row r="35" spans="1:7" x14ac:dyDescent="0.2">
      <c r="C35" s="37" t="s">
        <v>211</v>
      </c>
      <c r="D35" s="36">
        <f>+D16+D33+D26</f>
        <v>28764.259647215484</v>
      </c>
      <c r="F35" s="39"/>
      <c r="G35" s="92"/>
    </row>
    <row r="37" spans="1:7" x14ac:dyDescent="0.2">
      <c r="C37" s="96" t="s">
        <v>212</v>
      </c>
      <c r="D37" s="97">
        <f>+(((12*D7)*0.25)+(12*D7)+(15*D7))/52</f>
        <v>868.20680769230773</v>
      </c>
    </row>
    <row r="38" spans="1:7" x14ac:dyDescent="0.2">
      <c r="D38" s="1"/>
    </row>
    <row r="39" spans="1:7" x14ac:dyDescent="0.2">
      <c r="A39" s="98" t="s">
        <v>213</v>
      </c>
      <c r="B39" s="99"/>
      <c r="C39" s="99"/>
      <c r="D39" s="100">
        <v>0</v>
      </c>
    </row>
    <row r="40" spans="1:7" x14ac:dyDescent="0.2">
      <c r="A40" s="101"/>
      <c r="B40" s="102"/>
      <c r="C40" s="102"/>
      <c r="D40" s="103"/>
    </row>
    <row r="41" spans="1:7" x14ac:dyDescent="0.2">
      <c r="A41" s="101"/>
      <c r="B41" s="102" t="s">
        <v>214</v>
      </c>
      <c r="C41" s="102" t="s">
        <v>215</v>
      </c>
      <c r="D41" s="103"/>
    </row>
    <row r="42" spans="1:7" x14ac:dyDescent="0.2">
      <c r="A42" s="101" t="s">
        <v>216</v>
      </c>
      <c r="B42" s="102">
        <v>8.23</v>
      </c>
      <c r="C42" s="102">
        <v>1</v>
      </c>
      <c r="D42" s="103">
        <f>+B42*1.15</f>
        <v>9.4644999999999992</v>
      </c>
    </row>
    <row r="43" spans="1:7" x14ac:dyDescent="0.2">
      <c r="A43" s="101" t="s">
        <v>217</v>
      </c>
      <c r="B43" s="102">
        <v>4.21</v>
      </c>
      <c r="C43" s="102">
        <v>1</v>
      </c>
      <c r="D43" s="104">
        <f>+B43*1.15</f>
        <v>4.8414999999999999</v>
      </c>
    </row>
    <row r="44" spans="1:7" ht="15" x14ac:dyDescent="0.25">
      <c r="A44" s="101" t="s">
        <v>218</v>
      </c>
      <c r="B44" s="102"/>
      <c r="C44" s="102"/>
      <c r="D44" s="105">
        <f>SUM(D42:D43)</f>
        <v>14.305999999999999</v>
      </c>
    </row>
    <row r="45" spans="1:7" x14ac:dyDescent="0.2">
      <c r="A45" s="101"/>
      <c r="B45" s="102"/>
      <c r="C45" s="102"/>
      <c r="D45" s="103"/>
    </row>
    <row r="46" spans="1:7" x14ac:dyDescent="0.2">
      <c r="A46" s="101" t="s">
        <v>219</v>
      </c>
      <c r="B46" s="102"/>
      <c r="C46" s="102"/>
      <c r="D46" s="103">
        <v>48</v>
      </c>
    </row>
    <row r="47" spans="1:7" ht="15" x14ac:dyDescent="0.25">
      <c r="A47" s="98" t="s">
        <v>220</v>
      </c>
      <c r="B47" s="99"/>
      <c r="C47" s="99"/>
      <c r="D47" s="106">
        <v>500</v>
      </c>
    </row>
    <row r="48" spans="1:7" x14ac:dyDescent="0.2">
      <c r="A48" s="101"/>
      <c r="B48" s="102"/>
      <c r="C48" s="102"/>
      <c r="D48" s="103"/>
    </row>
    <row r="49" spans="1:4" x14ac:dyDescent="0.2">
      <c r="A49" s="101"/>
      <c r="B49" s="102"/>
      <c r="C49" s="102"/>
      <c r="D49" s="103"/>
    </row>
    <row r="50" spans="1:4" x14ac:dyDescent="0.2">
      <c r="A50" s="101" t="s">
        <v>221</v>
      </c>
      <c r="B50" s="102"/>
      <c r="C50" s="102"/>
      <c r="D50" s="103">
        <v>12.8</v>
      </c>
    </row>
    <row r="51" spans="1:4" x14ac:dyDescent="0.2">
      <c r="A51" s="101" t="s">
        <v>147</v>
      </c>
      <c r="B51" s="102"/>
      <c r="C51" s="102"/>
      <c r="D51" s="103">
        <v>0.93</v>
      </c>
    </row>
    <row r="52" spans="1:4" x14ac:dyDescent="0.2">
      <c r="A52" s="101" t="s">
        <v>220</v>
      </c>
      <c r="B52" s="102"/>
      <c r="C52" s="102"/>
      <c r="D52" s="103">
        <f>+D47/D46</f>
        <v>10.416666666666666</v>
      </c>
    </row>
    <row r="53" spans="1:4" x14ac:dyDescent="0.2">
      <c r="A53" s="101" t="s">
        <v>222</v>
      </c>
      <c r="B53" s="102"/>
      <c r="C53" s="102"/>
      <c r="D53" s="103">
        <f>+D35/D46</f>
        <v>599.25540931698924</v>
      </c>
    </row>
    <row r="54" spans="1:4" x14ac:dyDescent="0.2">
      <c r="A54" s="101" t="s">
        <v>223</v>
      </c>
      <c r="B54" s="102"/>
      <c r="C54" s="102"/>
      <c r="D54" s="107">
        <f>+D44/D46</f>
        <v>0.29804166666666665</v>
      </c>
    </row>
    <row r="55" spans="1:4" x14ac:dyDescent="0.2">
      <c r="A55" s="101" t="s">
        <v>224</v>
      </c>
      <c r="B55" s="102"/>
      <c r="C55" s="102"/>
      <c r="D55" s="107">
        <f>+D37/D46</f>
        <v>18.087641826923079</v>
      </c>
    </row>
    <row r="56" spans="1:4" x14ac:dyDescent="0.2">
      <c r="A56" s="101" t="s">
        <v>213</v>
      </c>
      <c r="B56" s="102"/>
      <c r="C56" s="102"/>
      <c r="D56" s="104">
        <f>+D39/D46</f>
        <v>0</v>
      </c>
    </row>
    <row r="57" spans="1:4" ht="15" x14ac:dyDescent="0.25">
      <c r="A57" s="108" t="s">
        <v>225</v>
      </c>
      <c r="B57" s="109"/>
      <c r="C57" s="109"/>
      <c r="D57" s="110">
        <f>SUM(D50:D56)</f>
        <v>641.78775947724569</v>
      </c>
    </row>
  </sheetData>
  <mergeCells count="1">
    <mergeCell ref="B3:D3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E14C-1DDD-46D0-A01C-20B560537160}">
  <dimension ref="A1:CP93"/>
  <sheetViews>
    <sheetView showGridLines="0" tabSelected="1" topLeftCell="BT19" zoomScale="120" zoomScaleNormal="120" workbookViewId="0">
      <selection activeCell="CA37" sqref="CA37"/>
    </sheetView>
  </sheetViews>
  <sheetFormatPr defaultColWidth="10.140625" defaultRowHeight="15.75" x14ac:dyDescent="0.25"/>
  <cols>
    <col min="1" max="1" width="34.7109375" style="306" bestFit="1" customWidth="1"/>
    <col min="2" max="2" width="37.140625" style="306" bestFit="1" customWidth="1"/>
    <col min="3" max="3" width="17.140625" style="306" bestFit="1" customWidth="1"/>
    <col min="4" max="4" width="19.85546875" style="306" bestFit="1" customWidth="1"/>
    <col min="5" max="5" width="4.7109375" style="306" hidden="1" customWidth="1"/>
    <col min="6" max="6" width="34.7109375" style="306" bestFit="1" customWidth="1"/>
    <col min="7" max="7" width="37.140625" style="306" bestFit="1" customWidth="1"/>
    <col min="8" max="8" width="16" style="306" bestFit="1" customWidth="1"/>
    <col min="9" max="9" width="19.85546875" style="306" bestFit="1" customWidth="1"/>
    <col min="10" max="10" width="4.5703125" style="306" hidden="1" customWidth="1"/>
    <col min="11" max="11" width="34.7109375" style="306" bestFit="1" customWidth="1"/>
    <col min="12" max="12" width="37.140625" style="306" bestFit="1" customWidth="1"/>
    <col min="13" max="13" width="16" style="306" bestFit="1" customWidth="1"/>
    <col min="14" max="14" width="19.85546875" style="306" bestFit="1" customWidth="1"/>
    <col min="15" max="15" width="5.5703125" style="306" hidden="1" customWidth="1"/>
    <col min="16" max="16" width="34.7109375" style="306" bestFit="1" customWidth="1"/>
    <col min="17" max="17" width="37.140625" style="306" bestFit="1" customWidth="1"/>
    <col min="18" max="18" width="17.7109375" style="306" bestFit="1" customWidth="1"/>
    <col min="19" max="19" width="19.85546875" style="306" bestFit="1" customWidth="1"/>
    <col min="20" max="20" width="4.5703125" style="306" hidden="1" customWidth="1"/>
    <col min="21" max="21" width="34.7109375" style="306" bestFit="1" customWidth="1"/>
    <col min="22" max="22" width="37.140625" style="306" bestFit="1" customWidth="1"/>
    <col min="23" max="23" width="16" style="306" bestFit="1" customWidth="1"/>
    <col min="24" max="24" width="19.85546875" style="306" bestFit="1" customWidth="1"/>
    <col min="25" max="25" width="4.5703125" style="306" hidden="1" customWidth="1"/>
    <col min="26" max="26" width="34.7109375" style="306" bestFit="1" customWidth="1"/>
    <col min="27" max="27" width="37.140625" style="306" bestFit="1" customWidth="1"/>
    <col min="28" max="28" width="16" style="306" bestFit="1" customWidth="1"/>
    <col min="29" max="29" width="19.85546875" style="306" bestFit="1" customWidth="1"/>
    <col min="30" max="30" width="4.5703125" style="306" hidden="1" customWidth="1"/>
    <col min="31" max="31" width="34.7109375" style="306" bestFit="1" customWidth="1"/>
    <col min="32" max="32" width="37.140625" style="306" bestFit="1" customWidth="1"/>
    <col min="33" max="33" width="16" style="306" bestFit="1" customWidth="1"/>
    <col min="34" max="34" width="19.85546875" style="306" bestFit="1" customWidth="1"/>
    <col min="35" max="35" width="18.140625" style="306" hidden="1" customWidth="1"/>
    <col min="36" max="36" width="34.7109375" style="306" bestFit="1" customWidth="1"/>
    <col min="37" max="37" width="37.140625" style="306" bestFit="1" customWidth="1"/>
    <col min="38" max="38" width="16" style="306" bestFit="1" customWidth="1"/>
    <col min="39" max="39" width="19.85546875" style="306" bestFit="1" customWidth="1"/>
    <col min="40" max="40" width="18.140625" style="306" hidden="1" customWidth="1"/>
    <col min="41" max="41" width="34.7109375" style="320" bestFit="1" customWidth="1"/>
    <col min="42" max="42" width="37.140625" style="320" bestFit="1" customWidth="1"/>
    <col min="43" max="43" width="16" style="320" bestFit="1" customWidth="1"/>
    <col min="44" max="44" width="19.85546875" style="320" bestFit="1" customWidth="1"/>
    <col min="45" max="45" width="5.85546875" style="320" hidden="1" customWidth="1"/>
    <col min="46" max="46" width="18.140625" style="320" customWidth="1"/>
    <col min="47" max="47" width="34.7109375" style="320" bestFit="1" customWidth="1"/>
    <col min="48" max="48" width="37.140625" style="320" bestFit="1" customWidth="1"/>
    <col min="49" max="49" width="16" style="320" bestFit="1" customWidth="1"/>
    <col min="50" max="50" width="34.7109375" style="320" bestFit="1" customWidth="1"/>
    <col min="51" max="51" width="18.85546875" style="320" customWidth="1"/>
    <col min="52" max="52" width="34.7109375" style="320" bestFit="1" customWidth="1"/>
    <col min="53" max="53" width="37.140625" style="320" bestFit="1" customWidth="1"/>
    <col min="54" max="54" width="16" style="320" bestFit="1" customWidth="1"/>
    <col min="55" max="55" width="34.7109375" style="320" bestFit="1" customWidth="1"/>
    <col min="56" max="56" width="18.85546875" style="320" customWidth="1"/>
    <col min="57" max="57" width="36.140625" style="306" bestFit="1" customWidth="1"/>
    <col min="58" max="58" width="17" style="306" bestFit="1" customWidth="1"/>
    <col min="59" max="59" width="34.140625" style="306" bestFit="1" customWidth="1"/>
    <col min="60" max="60" width="20.5703125" style="306" bestFit="1" customWidth="1"/>
    <col min="61" max="61" width="15.85546875" style="306" bestFit="1" customWidth="1"/>
    <col min="62" max="62" width="19.42578125" style="306" hidden="1" customWidth="1"/>
    <col min="63" max="63" width="17" style="306" bestFit="1" customWidth="1"/>
    <col min="64" max="64" width="9.28515625" style="306" hidden="1" customWidth="1"/>
    <col min="65" max="65" width="12.5703125" style="309" customWidth="1"/>
    <col min="66" max="66" width="11.85546875" style="306" customWidth="1"/>
    <col min="67" max="67" width="34.7109375" style="306" bestFit="1" customWidth="1"/>
    <col min="68" max="68" width="37.140625" style="306" bestFit="1" customWidth="1"/>
    <col min="69" max="69" width="16" style="306" bestFit="1" customWidth="1"/>
    <col min="70" max="70" width="34.7109375" style="306" bestFit="1" customWidth="1"/>
    <col min="71" max="71" width="9.85546875" style="306" customWidth="1"/>
    <col min="72" max="72" width="34.7109375" style="306" bestFit="1" customWidth="1"/>
    <col min="73" max="73" width="37.140625" style="306" bestFit="1" customWidth="1"/>
    <col min="74" max="74" width="16" style="306" bestFit="1" customWidth="1"/>
    <col min="75" max="75" width="34.7109375" style="306" bestFit="1" customWidth="1"/>
    <col min="76" max="76" width="11.5703125" style="306" customWidth="1"/>
    <col min="77" max="77" width="13.28515625" style="310" bestFit="1" customWidth="1"/>
    <col min="78" max="78" width="20.5703125" style="306" bestFit="1" customWidth="1"/>
    <col min="79" max="79" width="17" style="306" bestFit="1" customWidth="1"/>
    <col min="80" max="90" width="10.140625" style="306" customWidth="1"/>
    <col min="91" max="91" width="1.5703125" style="306" bestFit="1" customWidth="1"/>
    <col min="92" max="92" width="10.140625" style="306"/>
    <col min="93" max="93" width="14.140625" style="306" bestFit="1" customWidth="1"/>
    <col min="94" max="94" width="12.7109375" style="362" bestFit="1" customWidth="1"/>
    <col min="95" max="16384" width="10.140625" style="306"/>
  </cols>
  <sheetData>
    <row r="1" spans="1:78" x14ac:dyDescent="0.25">
      <c r="A1" s="486" t="s">
        <v>251</v>
      </c>
      <c r="B1" s="486"/>
      <c r="C1" s="486"/>
      <c r="D1" s="305"/>
      <c r="F1" s="486" t="s">
        <v>252</v>
      </c>
      <c r="G1" s="486"/>
      <c r="H1" s="486"/>
      <c r="I1" s="486"/>
      <c r="K1" s="486" t="s">
        <v>253</v>
      </c>
      <c r="L1" s="486"/>
      <c r="M1" s="486"/>
      <c r="N1" s="486"/>
      <c r="P1" s="486" t="s">
        <v>254</v>
      </c>
      <c r="Q1" s="486"/>
      <c r="R1" s="486"/>
      <c r="S1" s="486"/>
      <c r="U1" s="486" t="s">
        <v>255</v>
      </c>
      <c r="V1" s="486"/>
      <c r="W1" s="486"/>
      <c r="X1" s="486"/>
      <c r="Z1" s="486" t="s">
        <v>256</v>
      </c>
      <c r="AA1" s="486"/>
      <c r="AB1" s="486"/>
      <c r="AC1" s="486"/>
      <c r="AE1" s="486" t="s">
        <v>257</v>
      </c>
      <c r="AF1" s="486"/>
      <c r="AG1" s="486"/>
      <c r="AH1" s="486"/>
      <c r="AJ1" s="486" t="s">
        <v>258</v>
      </c>
      <c r="AK1" s="486"/>
      <c r="AL1" s="486"/>
      <c r="AM1" s="486"/>
      <c r="AN1" s="305"/>
      <c r="AO1" s="483" t="s">
        <v>259</v>
      </c>
      <c r="AP1" s="483"/>
      <c r="AQ1" s="483"/>
      <c r="AR1" s="483"/>
      <c r="AS1" s="307"/>
      <c r="AT1" s="307"/>
      <c r="AU1" s="483" t="s">
        <v>375</v>
      </c>
      <c r="AV1" s="483"/>
      <c r="AW1" s="483"/>
      <c r="AX1" s="483"/>
      <c r="AY1" s="307"/>
      <c r="AZ1" s="483" t="s">
        <v>376</v>
      </c>
      <c r="BA1" s="483"/>
      <c r="BB1" s="483"/>
      <c r="BC1" s="483"/>
      <c r="BD1" s="307"/>
      <c r="BH1" s="306" t="s">
        <v>261</v>
      </c>
      <c r="BI1" s="308">
        <v>45903</v>
      </c>
      <c r="BO1" s="483" t="s">
        <v>375</v>
      </c>
      <c r="BP1" s="483"/>
      <c r="BQ1" s="483"/>
      <c r="BR1" s="483"/>
      <c r="BS1" s="307"/>
      <c r="BT1" s="483" t="s">
        <v>376</v>
      </c>
      <c r="BU1" s="483"/>
      <c r="BV1" s="483"/>
      <c r="BW1" s="483"/>
      <c r="BX1" s="307"/>
    </row>
    <row r="2" spans="1:78" x14ac:dyDescent="0.25">
      <c r="A2" s="311"/>
      <c r="F2" s="487"/>
      <c r="G2" s="487"/>
      <c r="H2" s="487"/>
      <c r="AO2" s="483" t="s">
        <v>262</v>
      </c>
      <c r="AP2" s="483" t="s">
        <v>263</v>
      </c>
      <c r="AQ2" s="483"/>
      <c r="AR2" s="483"/>
      <c r="AS2" s="307"/>
      <c r="AT2" s="307"/>
      <c r="AU2" s="483"/>
      <c r="AV2" s="483" t="s">
        <v>263</v>
      </c>
      <c r="AW2" s="483"/>
      <c r="AX2" s="483"/>
      <c r="AY2" s="307"/>
      <c r="AZ2" s="483"/>
      <c r="BA2" s="483" t="s">
        <v>263</v>
      </c>
      <c r="BB2" s="483"/>
      <c r="BC2" s="483"/>
      <c r="BD2" s="307"/>
      <c r="BI2" s="312">
        <v>18.749400000000001</v>
      </c>
      <c r="BO2" s="483"/>
      <c r="BP2" s="483" t="s">
        <v>263</v>
      </c>
      <c r="BQ2" s="483"/>
      <c r="BR2" s="483"/>
      <c r="BS2" s="307"/>
      <c r="BT2" s="483"/>
      <c r="BU2" s="483" t="s">
        <v>263</v>
      </c>
      <c r="BV2" s="483"/>
      <c r="BW2" s="483"/>
      <c r="BX2" s="307"/>
    </row>
    <row r="3" spans="1:78" ht="60" customHeight="1" x14ac:dyDescent="0.25">
      <c r="A3" s="491" t="s">
        <v>264</v>
      </c>
      <c r="B3" s="491"/>
      <c r="C3" s="491"/>
      <c r="D3" s="491"/>
      <c r="F3" s="491" t="s">
        <v>264</v>
      </c>
      <c r="G3" s="491"/>
      <c r="H3" s="491"/>
      <c r="I3" s="491"/>
      <c r="K3" s="491" t="s">
        <v>264</v>
      </c>
      <c r="L3" s="491"/>
      <c r="M3" s="491"/>
      <c r="N3" s="491"/>
      <c r="P3" s="491" t="s">
        <v>264</v>
      </c>
      <c r="Q3" s="491"/>
      <c r="R3" s="491"/>
      <c r="S3" s="491"/>
      <c r="U3" s="489" t="s">
        <v>264</v>
      </c>
      <c r="V3" s="489"/>
      <c r="W3" s="489"/>
      <c r="X3" s="489"/>
      <c r="Y3" s="313"/>
      <c r="Z3" s="489" t="s">
        <v>264</v>
      </c>
      <c r="AA3" s="489"/>
      <c r="AB3" s="489"/>
      <c r="AC3" s="489"/>
      <c r="AE3" s="488" t="s">
        <v>264</v>
      </c>
      <c r="AF3" s="488"/>
      <c r="AG3" s="488"/>
      <c r="AH3" s="488"/>
      <c r="AJ3" s="488" t="s">
        <v>264</v>
      </c>
      <c r="AK3" s="488"/>
      <c r="AL3" s="488"/>
      <c r="AM3" s="488"/>
      <c r="AN3" s="314"/>
      <c r="AO3" s="484" t="s">
        <v>264</v>
      </c>
      <c r="AP3" s="484"/>
      <c r="AQ3" s="484"/>
      <c r="AR3" s="484"/>
      <c r="AS3" s="315"/>
      <c r="AT3" s="315"/>
      <c r="AU3" s="484" t="s">
        <v>377</v>
      </c>
      <c r="AV3" s="484"/>
      <c r="AW3" s="484"/>
      <c r="AX3" s="484"/>
      <c r="AY3" s="315"/>
      <c r="AZ3" s="484" t="s">
        <v>378</v>
      </c>
      <c r="BA3" s="484"/>
      <c r="BB3" s="484"/>
      <c r="BC3" s="484"/>
      <c r="BD3" s="315"/>
      <c r="BE3" s="316"/>
      <c r="BF3" s="317" t="s">
        <v>265</v>
      </c>
      <c r="BG3" s="317" t="s">
        <v>266</v>
      </c>
      <c r="BH3" s="317" t="s">
        <v>267</v>
      </c>
      <c r="BI3" s="318" t="s">
        <v>268</v>
      </c>
      <c r="BK3" s="319" t="s">
        <v>269</v>
      </c>
      <c r="BO3" s="484" t="s">
        <v>379</v>
      </c>
      <c r="BP3" s="484"/>
      <c r="BQ3" s="484"/>
      <c r="BR3" s="484"/>
      <c r="BS3" s="315"/>
      <c r="BT3" s="484" t="s">
        <v>380</v>
      </c>
      <c r="BU3" s="484"/>
      <c r="BV3" s="484"/>
      <c r="BW3" s="484"/>
      <c r="BX3" s="315"/>
    </row>
    <row r="4" spans="1:78" x14ac:dyDescent="0.25">
      <c r="BE4" s="316" t="str">
        <f>+A1</f>
        <v>CARLOS ALBERTO CANTU BARRON</v>
      </c>
      <c r="BF4" s="321">
        <f>+C53</f>
        <v>103634.85806799357</v>
      </c>
      <c r="BG4" s="321">
        <f>BF4*S54</f>
        <v>11399.834387479294</v>
      </c>
      <c r="BH4" s="321">
        <f>+BG4+BF4</f>
        <v>115034.69245547286</v>
      </c>
      <c r="BI4" s="322">
        <f>BH4/$BI$2</f>
        <v>6135.3799297829719</v>
      </c>
      <c r="BJ4" s="323"/>
      <c r="BK4" s="323">
        <f>+C25</f>
        <v>60832.894704999999</v>
      </c>
      <c r="BO4" s="320"/>
      <c r="BP4" s="320"/>
      <c r="BQ4" s="320"/>
      <c r="BR4" s="320"/>
      <c r="BS4" s="320"/>
      <c r="BT4" s="320"/>
      <c r="BU4" s="320"/>
      <c r="BV4" s="320"/>
      <c r="BW4" s="320"/>
      <c r="BX4" s="320"/>
    </row>
    <row r="5" spans="1:78" x14ac:dyDescent="0.25">
      <c r="A5" s="324" t="s">
        <v>270</v>
      </c>
      <c r="C5" s="306" t="s">
        <v>271</v>
      </c>
      <c r="D5" s="325" t="s">
        <v>272</v>
      </c>
      <c r="F5" s="324" t="s">
        <v>270</v>
      </c>
      <c r="I5" s="325" t="s">
        <v>272</v>
      </c>
      <c r="K5" s="324" t="s">
        <v>270</v>
      </c>
      <c r="N5" s="325" t="s">
        <v>272</v>
      </c>
      <c r="P5" s="324" t="s">
        <v>270</v>
      </c>
      <c r="S5" s="325" t="s">
        <v>272</v>
      </c>
      <c r="U5" s="324" t="s">
        <v>270</v>
      </c>
      <c r="W5" s="326" t="s">
        <v>273</v>
      </c>
      <c r="X5" s="325" t="s">
        <v>272</v>
      </c>
      <c r="Z5" s="324" t="s">
        <v>270</v>
      </c>
      <c r="AB5" s="326" t="s">
        <v>273</v>
      </c>
      <c r="AC5" s="325" t="s">
        <v>272</v>
      </c>
      <c r="AE5" s="324" t="s">
        <v>270</v>
      </c>
      <c r="AH5" s="325" t="s">
        <v>272</v>
      </c>
      <c r="AJ5" s="324" t="s">
        <v>270</v>
      </c>
      <c r="AM5" s="325" t="s">
        <v>272</v>
      </c>
      <c r="AN5" s="325"/>
      <c r="AO5" s="327" t="s">
        <v>270</v>
      </c>
      <c r="AR5" s="328" t="s">
        <v>272</v>
      </c>
      <c r="AS5" s="328"/>
      <c r="AT5" s="328"/>
      <c r="AU5" s="327" t="s">
        <v>270</v>
      </c>
      <c r="AX5" s="328" t="s">
        <v>272</v>
      </c>
      <c r="AY5" s="328"/>
      <c r="AZ5" s="327" t="s">
        <v>270</v>
      </c>
      <c r="BC5" s="328" t="s">
        <v>272</v>
      </c>
      <c r="BD5" s="328"/>
      <c r="BE5" s="316" t="str">
        <f>+F1</f>
        <v>MASIEL MURRIETA VALDEZ</v>
      </c>
      <c r="BF5" s="321">
        <f>+H53</f>
        <v>64336.879499399234</v>
      </c>
      <c r="BG5" s="321">
        <f>+BF5*S54</f>
        <v>7077.056744933916</v>
      </c>
      <c r="BH5" s="321">
        <f t="shared" ref="BH5:BH6" si="0">+BG5+BF5</f>
        <v>71413.936244333148</v>
      </c>
      <c r="BI5" s="322">
        <f t="shared" ref="BI5:BI11" si="1">BH5/$BI$2</f>
        <v>3808.865150049236</v>
      </c>
      <c r="BJ5" s="323"/>
      <c r="BK5" s="323">
        <f>+H25</f>
        <v>37386.430819726032</v>
      </c>
      <c r="BO5" s="327" t="s">
        <v>270</v>
      </c>
      <c r="BP5" s="320"/>
      <c r="BQ5" s="320"/>
      <c r="BR5" s="328" t="s">
        <v>272</v>
      </c>
      <c r="BS5" s="328"/>
      <c r="BT5" s="327" t="s">
        <v>270</v>
      </c>
      <c r="BU5" s="320"/>
      <c r="BV5" s="320"/>
      <c r="BW5" s="328" t="s">
        <v>272</v>
      </c>
      <c r="BX5" s="328"/>
    </row>
    <row r="6" spans="1:78" x14ac:dyDescent="0.25">
      <c r="B6" s="306" t="s">
        <v>274</v>
      </c>
      <c r="C6" s="329">
        <v>51600</v>
      </c>
      <c r="D6" s="490">
        <f>((C6+C7)/2)*4.33</f>
        <v>130333</v>
      </c>
      <c r="G6" s="306" t="s">
        <v>274</v>
      </c>
      <c r="H6" s="329">
        <v>30000</v>
      </c>
      <c r="I6" s="490">
        <f>((H6+H7)/2)*4.33</f>
        <v>75775</v>
      </c>
      <c r="L6" s="306" t="s">
        <v>274</v>
      </c>
      <c r="M6" s="329">
        <v>32136</v>
      </c>
      <c r="N6" s="490">
        <f>((M6+M7)/2)*4.33</f>
        <v>81170.180000000008</v>
      </c>
      <c r="Q6" s="306" t="s">
        <v>274</v>
      </c>
      <c r="R6" s="329">
        <v>105600</v>
      </c>
      <c r="S6" s="490">
        <f>((R6+R7)/2)*4.33</f>
        <v>266728</v>
      </c>
      <c r="V6" s="306" t="s">
        <v>274</v>
      </c>
      <c r="W6" s="329">
        <v>21989.279999999999</v>
      </c>
      <c r="X6" s="490">
        <f>((W6+W7)/2)*4.33</f>
        <v>55541.256399999998</v>
      </c>
      <c r="AA6" s="306" t="s">
        <v>274</v>
      </c>
      <c r="AB6" s="329">
        <v>25181.040000000001</v>
      </c>
      <c r="AC6" s="490">
        <f>((AB6+AB7)/2)*4.33</f>
        <v>63603.110200000003</v>
      </c>
      <c r="AF6" s="306" t="s">
        <v>274</v>
      </c>
      <c r="AG6" s="329">
        <v>21600</v>
      </c>
      <c r="AH6" s="490">
        <f>((AG6+AG7)/2)*4.33</f>
        <v>54558</v>
      </c>
      <c r="AK6" s="306" t="s">
        <v>274</v>
      </c>
      <c r="AL6" s="329">
        <v>29092.080000000002</v>
      </c>
      <c r="AM6" s="490">
        <f>((AL6+AL7)/2)*4.33</f>
        <v>73481.7454</v>
      </c>
      <c r="AN6" s="330"/>
      <c r="AP6" s="320" t="s">
        <v>274</v>
      </c>
      <c r="AQ6" s="331">
        <v>38129.399999999994</v>
      </c>
      <c r="AR6" s="485">
        <f>((AQ6+AQ7)/2)*4.33</f>
        <v>96308.509499999986</v>
      </c>
      <c r="AS6" s="332"/>
      <c r="AT6" s="332"/>
      <c r="AV6" s="320" t="s">
        <v>274</v>
      </c>
      <c r="AW6" s="333">
        <v>28126.6584</v>
      </c>
      <c r="AX6" s="485">
        <f>((AW6+AW7)/2)*4.33</f>
        <v>71043.251342000003</v>
      </c>
      <c r="AY6" s="332"/>
      <c r="BA6" s="320" t="s">
        <v>274</v>
      </c>
      <c r="BB6" s="333">
        <v>21782.016</v>
      </c>
      <c r="BC6" s="485">
        <f>((BB6+BB7)/2)*4.33</f>
        <v>55017.742079999996</v>
      </c>
      <c r="BD6" s="332"/>
      <c r="BE6" s="316" t="str">
        <f>+K1</f>
        <v>JESUS ALBERTO SOTO MORA</v>
      </c>
      <c r="BF6" s="321">
        <f>+M53</f>
        <v>69380.16203820864</v>
      </c>
      <c r="BG6" s="321">
        <f>+BF6*S54</f>
        <v>7631.8178242029508</v>
      </c>
      <c r="BH6" s="321">
        <f t="shared" si="0"/>
        <v>77011.979862411594</v>
      </c>
      <c r="BI6" s="322">
        <f t="shared" si="1"/>
        <v>4107.4370306469318</v>
      </c>
      <c r="BJ6" s="323"/>
      <c r="BK6" s="323">
        <f>+M25</f>
        <v>39684.467534794523</v>
      </c>
      <c r="BO6" s="320"/>
      <c r="BP6" s="320" t="s">
        <v>274</v>
      </c>
      <c r="BQ6" s="333">
        <v>11826.439200000001</v>
      </c>
      <c r="BR6" s="485">
        <f>((BQ6+BQ7)/2)*4.33</f>
        <v>29871.614346000002</v>
      </c>
      <c r="BS6" s="332"/>
      <c r="BT6" s="320"/>
      <c r="BU6" s="320" t="s">
        <v>274</v>
      </c>
      <c r="BV6" s="333">
        <v>9029.3508000000002</v>
      </c>
      <c r="BW6" s="485">
        <f>((BV6+BV7)/2)*4.33</f>
        <v>22806.635229</v>
      </c>
      <c r="BX6" s="332"/>
    </row>
    <row r="7" spans="1:78" x14ac:dyDescent="0.25">
      <c r="B7" s="306" t="s">
        <v>275</v>
      </c>
      <c r="C7" s="329">
        <v>8600</v>
      </c>
      <c r="D7" s="490"/>
      <c r="G7" s="306" t="s">
        <v>275</v>
      </c>
      <c r="H7" s="329">
        <v>5000</v>
      </c>
      <c r="I7" s="490"/>
      <c r="L7" s="306" t="s">
        <v>275</v>
      </c>
      <c r="M7" s="329">
        <v>5356</v>
      </c>
      <c r="N7" s="490"/>
      <c r="P7" s="323"/>
      <c r="Q7" s="306" t="s">
        <v>275</v>
      </c>
      <c r="R7" s="329">
        <v>17600</v>
      </c>
      <c r="S7" s="490"/>
      <c r="U7" s="323"/>
      <c r="V7" s="306" t="s">
        <v>275</v>
      </c>
      <c r="W7" s="329">
        <v>3664.88</v>
      </c>
      <c r="X7" s="490"/>
      <c r="Z7" s="323"/>
      <c r="AA7" s="306" t="s">
        <v>275</v>
      </c>
      <c r="AB7" s="329">
        <v>4196.84</v>
      </c>
      <c r="AC7" s="490"/>
      <c r="AE7" s="323"/>
      <c r="AF7" s="306" t="s">
        <v>275</v>
      </c>
      <c r="AG7" s="329">
        <v>3600</v>
      </c>
      <c r="AH7" s="490"/>
      <c r="AI7" s="323"/>
      <c r="AJ7" s="323"/>
      <c r="AK7" s="306" t="s">
        <v>275</v>
      </c>
      <c r="AL7" s="329">
        <v>4848.68</v>
      </c>
      <c r="AM7" s="490"/>
      <c r="AN7" s="330"/>
      <c r="AO7" s="334"/>
      <c r="AP7" s="320" t="s">
        <v>275</v>
      </c>
      <c r="AQ7" s="331">
        <v>6354.9</v>
      </c>
      <c r="AR7" s="485"/>
      <c r="AS7" s="332"/>
      <c r="AT7" s="332"/>
      <c r="AU7" s="334"/>
      <c r="AV7" s="320" t="s">
        <v>275</v>
      </c>
      <c r="AW7" s="331">
        <v>4687.7763999999997</v>
      </c>
      <c r="AX7" s="485"/>
      <c r="AY7" s="332"/>
      <c r="AZ7" s="334"/>
      <c r="BA7" s="320" t="s">
        <v>275</v>
      </c>
      <c r="BB7" s="331">
        <v>3630.3359999999998</v>
      </c>
      <c r="BC7" s="485"/>
      <c r="BD7" s="332"/>
      <c r="BE7" s="316" t="str">
        <f>+P1</f>
        <v>JESUS ALBERTO MORENO CORDOVA</v>
      </c>
      <c r="BF7" s="321">
        <f>+R53</f>
        <v>222149.51909908769</v>
      </c>
      <c r="BG7" s="321">
        <f>+BF7*S54</f>
        <v>24436.447100899644</v>
      </c>
      <c r="BH7" s="321">
        <f>+BG7+BF7</f>
        <v>246585.96619998734</v>
      </c>
      <c r="BI7" s="322">
        <f t="shared" si="1"/>
        <v>13151.672384182284</v>
      </c>
      <c r="BJ7" s="323"/>
      <c r="BK7" s="323">
        <f>+R25</f>
        <v>133142.75470499997</v>
      </c>
      <c r="BO7" s="334"/>
      <c r="BP7" s="320" t="s">
        <v>275</v>
      </c>
      <c r="BQ7" s="331">
        <v>1971.0732</v>
      </c>
      <c r="BR7" s="485"/>
      <c r="BS7" s="332"/>
      <c r="BT7" s="334"/>
      <c r="BU7" s="320" t="s">
        <v>275</v>
      </c>
      <c r="BV7" s="331">
        <v>1504.8918000000001</v>
      </c>
      <c r="BW7" s="485"/>
      <c r="BX7" s="332"/>
      <c r="BY7" s="335"/>
      <c r="BZ7" s="336"/>
    </row>
    <row r="8" spans="1:78" x14ac:dyDescent="0.25">
      <c r="B8" s="337" t="s">
        <v>276</v>
      </c>
      <c r="C8" s="329">
        <v>3011.98</v>
      </c>
      <c r="D8" s="338">
        <f t="shared" ref="D8:D15" si="2">(C8/2)*4.33</f>
        <v>6520.9367000000002</v>
      </c>
      <c r="G8" s="337" t="s">
        <v>276</v>
      </c>
      <c r="H8" s="329">
        <v>1751.15</v>
      </c>
      <c r="I8" s="338">
        <f t="shared" ref="I8:I15" si="3">(H8/2)*4.33</f>
        <v>3791.2397500000002</v>
      </c>
      <c r="L8" s="337" t="s">
        <v>276</v>
      </c>
      <c r="M8" s="329">
        <v>1875.83</v>
      </c>
      <c r="N8" s="338">
        <f t="shared" ref="N8:N15" si="4">(M8/2)*4.33</f>
        <v>4061.1719499999999</v>
      </c>
      <c r="Q8" s="337" t="s">
        <v>276</v>
      </c>
      <c r="R8" s="329">
        <v>6164.06</v>
      </c>
      <c r="S8" s="338">
        <f>(R8/2)*4.33</f>
        <v>13345.189900000001</v>
      </c>
      <c r="V8" s="337" t="s">
        <v>276</v>
      </c>
      <c r="W8" s="329">
        <v>1282.7080000000001</v>
      </c>
      <c r="X8" s="338">
        <f t="shared" ref="X8:X15" si="5">(W8/2)*4.33</f>
        <v>2777.0628200000001</v>
      </c>
      <c r="AA8" s="337" t="s">
        <v>276</v>
      </c>
      <c r="AB8" s="329">
        <v>1468.89</v>
      </c>
      <c r="AC8" s="338">
        <f t="shared" ref="AC8:AC15" si="6">(AB8/2)*4.33</f>
        <v>3180.1468500000001</v>
      </c>
      <c r="AF8" s="337" t="s">
        <v>276</v>
      </c>
      <c r="AG8" s="329">
        <v>1260</v>
      </c>
      <c r="AH8" s="338">
        <f t="shared" ref="AH8:AH15" si="7">(AG8/2)*4.33</f>
        <v>2727.9</v>
      </c>
      <c r="AI8" s="323"/>
      <c r="AK8" s="337" t="s">
        <v>276</v>
      </c>
      <c r="AL8" s="329">
        <v>1697.0380000000002</v>
      </c>
      <c r="AM8" s="338">
        <f t="shared" ref="AM8:AM15" si="8">(AL8/2)*4.33</f>
        <v>3674.0872700000004</v>
      </c>
      <c r="AN8" s="339"/>
      <c r="AP8" s="340" t="s">
        <v>276</v>
      </c>
      <c r="AQ8" s="331">
        <v>2224.2150000000001</v>
      </c>
      <c r="AR8" s="341">
        <f t="shared" ref="AR8:AR15" si="9">(AQ8/2)*4.33</f>
        <v>4815.425475</v>
      </c>
      <c r="AS8" s="342"/>
      <c r="AT8" s="342"/>
      <c r="AV8" s="340" t="s">
        <v>276</v>
      </c>
      <c r="AW8" s="331">
        <v>1641.8013349049197</v>
      </c>
      <c r="AX8" s="341">
        <f>(AW8/2)*4.33</f>
        <v>3554.4998900691512</v>
      </c>
      <c r="AY8" s="342"/>
      <c r="BA8" s="340" t="s">
        <v>276</v>
      </c>
      <c r="BB8" s="331">
        <v>1271.4536663807999</v>
      </c>
      <c r="BC8" s="341">
        <f>(BB8/2)*4.33</f>
        <v>2752.6971877144319</v>
      </c>
      <c r="BD8" s="342"/>
      <c r="BE8" s="316" t="str">
        <f>+U1</f>
        <v>JORGE GUTIERREZ</v>
      </c>
      <c r="BF8" s="321">
        <f>+W53</f>
        <v>45534.352341065867</v>
      </c>
      <c r="BG8" s="321">
        <f>+BF8*X54</f>
        <v>5919.4658043385625</v>
      </c>
      <c r="BH8" s="321">
        <f t="shared" ref="BH8:BH10" si="10">+BG8+BF8</f>
        <v>51453.818145404432</v>
      </c>
      <c r="BI8" s="322">
        <f t="shared" si="1"/>
        <v>2744.2914517480253</v>
      </c>
      <c r="BJ8" s="323"/>
      <c r="BK8" s="323">
        <f>+W25</f>
        <v>26584.830693643831</v>
      </c>
      <c r="BO8" s="320"/>
      <c r="BP8" s="340" t="s">
        <v>276</v>
      </c>
      <c r="BQ8" s="331">
        <v>690.32955815796004</v>
      </c>
      <c r="BR8" s="341">
        <f>(BQ8/2)*4.33</f>
        <v>1494.5634934119835</v>
      </c>
      <c r="BS8" s="342"/>
      <c r="BT8" s="320"/>
      <c r="BU8" s="340" t="s">
        <v>276</v>
      </c>
      <c r="BV8" s="331">
        <v>527.05870658154004</v>
      </c>
      <c r="BW8" s="341">
        <f>(BV8/2)*4.33</f>
        <v>1141.0820997490341</v>
      </c>
      <c r="BX8" s="342"/>
    </row>
    <row r="9" spans="1:78" ht="15.95" customHeight="1" x14ac:dyDescent="0.25">
      <c r="B9" s="337" t="s">
        <v>277</v>
      </c>
      <c r="C9" s="329">
        <v>3011.98</v>
      </c>
      <c r="D9" s="338">
        <f t="shared" si="2"/>
        <v>6520.9367000000002</v>
      </c>
      <c r="G9" s="337" t="s">
        <v>277</v>
      </c>
      <c r="H9" s="329">
        <v>1751.15</v>
      </c>
      <c r="I9" s="338">
        <f t="shared" si="3"/>
        <v>3791.2397500000002</v>
      </c>
      <c r="L9" s="337" t="s">
        <v>277</v>
      </c>
      <c r="M9" s="329">
        <v>1875.83</v>
      </c>
      <c r="N9" s="338">
        <f t="shared" si="4"/>
        <v>4061.1719499999999</v>
      </c>
      <c r="Q9" s="337" t="s">
        <v>277</v>
      </c>
      <c r="R9" s="329">
        <v>6164.06</v>
      </c>
      <c r="S9" s="338">
        <f t="shared" ref="S9:S15" si="11">(R9/2)*4.33</f>
        <v>13345.189900000001</v>
      </c>
      <c r="V9" s="337" t="s">
        <v>277</v>
      </c>
      <c r="W9" s="329">
        <v>1282.7080000000001</v>
      </c>
      <c r="X9" s="338">
        <f t="shared" si="5"/>
        <v>2777.0628200000001</v>
      </c>
      <c r="AA9" s="337" t="s">
        <v>277</v>
      </c>
      <c r="AB9" s="329">
        <v>1468.89</v>
      </c>
      <c r="AC9" s="338">
        <f t="shared" si="6"/>
        <v>3180.1468500000001</v>
      </c>
      <c r="AF9" s="337" t="s">
        <v>277</v>
      </c>
      <c r="AG9" s="329">
        <v>1260</v>
      </c>
      <c r="AH9" s="338">
        <f t="shared" si="7"/>
        <v>2727.9</v>
      </c>
      <c r="AK9" s="337" t="s">
        <v>277</v>
      </c>
      <c r="AL9" s="329">
        <v>1697.0380000000002</v>
      </c>
      <c r="AM9" s="338">
        <f t="shared" si="8"/>
        <v>3674.0872700000004</v>
      </c>
      <c r="AN9" s="339"/>
      <c r="AP9" s="340" t="s">
        <v>277</v>
      </c>
      <c r="AQ9" s="331">
        <v>2224.2150000000001</v>
      </c>
      <c r="AR9" s="341">
        <f t="shared" si="9"/>
        <v>4815.425475</v>
      </c>
      <c r="AS9" s="342"/>
      <c r="AT9" s="342"/>
      <c r="AV9" s="340" t="s">
        <v>277</v>
      </c>
      <c r="AW9" s="331">
        <v>1641.8013349049197</v>
      </c>
      <c r="AX9" s="341">
        <f t="shared" ref="AX9:AX15" si="12">(AW9/2)*4.33</f>
        <v>3554.4998900691512</v>
      </c>
      <c r="AY9" s="342"/>
      <c r="BA9" s="340" t="s">
        <v>277</v>
      </c>
      <c r="BB9" s="331">
        <v>1271.4536663807999</v>
      </c>
      <c r="BC9" s="341">
        <f t="shared" ref="BC9:BC15" si="13">(BB9/2)*4.33</f>
        <v>2752.6971877144319</v>
      </c>
      <c r="BD9" s="342"/>
      <c r="BE9" s="316" t="str">
        <f>+Z1</f>
        <v>DITHER ROSAS</v>
      </c>
      <c r="BF9" s="321">
        <f>+AB53</f>
        <v>51443.137908902267</v>
      </c>
      <c r="BG9" s="321">
        <f>+BF9*AC54</f>
        <v>6687.6079281572947</v>
      </c>
      <c r="BH9" s="321">
        <f t="shared" si="10"/>
        <v>58130.745837059563</v>
      </c>
      <c r="BI9" s="322">
        <f t="shared" si="1"/>
        <v>3100.4056576242206</v>
      </c>
      <c r="BJ9" s="323"/>
      <c r="BK9" s="323">
        <f>+AB25</f>
        <v>29840.001164305693</v>
      </c>
      <c r="BL9" s="323"/>
      <c r="BM9" s="343"/>
      <c r="BO9" s="320"/>
      <c r="BP9" s="340" t="s">
        <v>277</v>
      </c>
      <c r="BQ9" s="331">
        <v>690.32955815796004</v>
      </c>
      <c r="BR9" s="341">
        <f t="shared" ref="BR9:BR15" si="14">(BQ9/2)*4.33</f>
        <v>1494.5634934119835</v>
      </c>
      <c r="BS9" s="342"/>
      <c r="BT9" s="320"/>
      <c r="BU9" s="340" t="s">
        <v>277</v>
      </c>
      <c r="BV9" s="331">
        <v>527.05870658154004</v>
      </c>
      <c r="BW9" s="341">
        <f t="shared" ref="BW9:BW15" si="15">(BV9/2)*4.33</f>
        <v>1141.0820997490341</v>
      </c>
      <c r="BX9" s="342"/>
    </row>
    <row r="10" spans="1:78" ht="15.95" customHeight="1" x14ac:dyDescent="0.25">
      <c r="B10" s="337" t="s">
        <v>30</v>
      </c>
      <c r="C10" s="329">
        <v>4953.92</v>
      </c>
      <c r="D10" s="338">
        <f t="shared" si="2"/>
        <v>10725.236800000001</v>
      </c>
      <c r="G10" s="337" t="s">
        <v>30</v>
      </c>
      <c r="H10" s="329">
        <v>2880.18</v>
      </c>
      <c r="I10" s="338">
        <f t="shared" si="3"/>
        <v>6235.5896999999995</v>
      </c>
      <c r="L10" s="337" t="s">
        <v>30</v>
      </c>
      <c r="M10" s="329">
        <v>3085.25</v>
      </c>
      <c r="N10" s="338">
        <f t="shared" si="4"/>
        <v>6679.5662499999999</v>
      </c>
      <c r="Q10" s="337" t="s">
        <v>30</v>
      </c>
      <c r="R10" s="329">
        <v>10138.25</v>
      </c>
      <c r="S10" s="338">
        <f t="shared" si="11"/>
        <v>21949.311249999999</v>
      </c>
      <c r="V10" s="337" t="s">
        <v>30</v>
      </c>
      <c r="W10" s="329">
        <v>2108.5610958904113</v>
      </c>
      <c r="X10" s="338">
        <f t="shared" si="5"/>
        <v>4565.0347726027403</v>
      </c>
      <c r="AA10" s="337" t="s">
        <v>30</v>
      </c>
      <c r="AB10" s="329">
        <v>2414.6202739726027</v>
      </c>
      <c r="AC10" s="338">
        <f t="shared" si="6"/>
        <v>5227.6528931506846</v>
      </c>
      <c r="AF10" s="337" t="s">
        <v>30</v>
      </c>
      <c r="AG10" s="329">
        <v>2071.23</v>
      </c>
      <c r="AH10" s="338">
        <f t="shared" si="7"/>
        <v>4484.2129500000001</v>
      </c>
      <c r="AK10" s="337" t="s">
        <v>30</v>
      </c>
      <c r="AL10" s="329">
        <v>2789.6515068493154</v>
      </c>
      <c r="AM10" s="338">
        <f t="shared" si="8"/>
        <v>6039.5955123287677</v>
      </c>
      <c r="AN10" s="339"/>
      <c r="AP10" s="340" t="s">
        <v>30</v>
      </c>
      <c r="AQ10" s="331">
        <v>3656.2438356164384</v>
      </c>
      <c r="AR10" s="341">
        <f t="shared" si="9"/>
        <v>7915.7679041095889</v>
      </c>
      <c r="AS10" s="342"/>
      <c r="AT10" s="342"/>
      <c r="AV10" s="340" t="s">
        <v>30</v>
      </c>
      <c r="AW10" s="331">
        <v>2700.3320276497693</v>
      </c>
      <c r="AX10" s="341">
        <f t="shared" si="12"/>
        <v>5846.2188398617509</v>
      </c>
      <c r="AY10" s="342"/>
      <c r="BA10" s="340" t="s">
        <v>30</v>
      </c>
      <c r="BB10" s="331">
        <v>2091.2073732718891</v>
      </c>
      <c r="BC10" s="341">
        <f t="shared" si="13"/>
        <v>4527.4639631336404</v>
      </c>
      <c r="BD10" s="342"/>
      <c r="BE10" s="316" t="str">
        <f>+AE1</f>
        <v>JUAN CARLOS MENDOZA</v>
      </c>
      <c r="BF10" s="321">
        <f>+AG53</f>
        <v>46171.028625368417</v>
      </c>
      <c r="BG10" s="321">
        <f>+BF10*AH54</f>
        <v>6002.2337212978946</v>
      </c>
      <c r="BH10" s="321">
        <f t="shared" si="10"/>
        <v>52173.262346666314</v>
      </c>
      <c r="BI10" s="322">
        <f t="shared" si="1"/>
        <v>2782.6630370393887</v>
      </c>
      <c r="BJ10" s="323"/>
      <c r="BK10" s="323">
        <f>+AG25</f>
        <v>26187.822052602736</v>
      </c>
      <c r="BO10" s="320"/>
      <c r="BP10" s="340" t="s">
        <v>30</v>
      </c>
      <c r="BQ10" s="331">
        <v>1135.4108294930877</v>
      </c>
      <c r="BR10" s="341">
        <f t="shared" si="14"/>
        <v>2458.1644458525348</v>
      </c>
      <c r="BS10" s="342"/>
      <c r="BT10" s="320"/>
      <c r="BU10" s="340" t="s">
        <v>30</v>
      </c>
      <c r="BV10" s="331">
        <v>866.87315668202768</v>
      </c>
      <c r="BW10" s="341">
        <f t="shared" si="15"/>
        <v>1876.7803842165899</v>
      </c>
      <c r="BX10" s="342"/>
    </row>
    <row r="11" spans="1:78" ht="26.25" x14ac:dyDescent="0.25">
      <c r="B11" s="344" t="s">
        <v>278</v>
      </c>
      <c r="C11" s="329">
        <v>138.25</v>
      </c>
      <c r="D11" s="338">
        <f t="shared" si="2"/>
        <v>299.31125000000003</v>
      </c>
      <c r="G11" s="344" t="s">
        <v>279</v>
      </c>
      <c r="H11" s="329">
        <v>17.28</v>
      </c>
      <c r="I11" s="338">
        <f t="shared" si="3"/>
        <v>37.411200000000001</v>
      </c>
      <c r="L11" s="344" t="s">
        <v>278</v>
      </c>
      <c r="M11" s="329">
        <v>138.25</v>
      </c>
      <c r="N11" s="338">
        <f t="shared" si="4"/>
        <v>299.31125000000003</v>
      </c>
      <c r="Q11" s="344" t="s">
        <v>279</v>
      </c>
      <c r="R11" s="329">
        <v>17.28</v>
      </c>
      <c r="S11" s="338">
        <f t="shared" si="11"/>
        <v>37.411200000000001</v>
      </c>
      <c r="V11" s="344" t="s">
        <v>279</v>
      </c>
      <c r="W11" s="329">
        <v>17.28</v>
      </c>
      <c r="X11" s="338">
        <f t="shared" si="5"/>
        <v>37.411200000000001</v>
      </c>
      <c r="AA11" s="344" t="s">
        <v>279</v>
      </c>
      <c r="AB11" s="329">
        <v>17.28</v>
      </c>
      <c r="AC11" s="338">
        <f t="shared" si="6"/>
        <v>37.411200000000001</v>
      </c>
      <c r="AF11" s="344" t="s">
        <v>279</v>
      </c>
      <c r="AG11" s="329">
        <v>17.28</v>
      </c>
      <c r="AH11" s="338">
        <f t="shared" si="7"/>
        <v>37.411200000000001</v>
      </c>
      <c r="AK11" s="344" t="s">
        <v>279</v>
      </c>
      <c r="AL11" s="329">
        <v>17.28</v>
      </c>
      <c r="AM11" s="338">
        <f t="shared" si="8"/>
        <v>37.411200000000001</v>
      </c>
      <c r="AN11" s="339"/>
      <c r="AP11" s="345" t="s">
        <v>279</v>
      </c>
      <c r="AQ11" s="331">
        <v>17.28</v>
      </c>
      <c r="AR11" s="341">
        <f t="shared" si="9"/>
        <v>37.411200000000001</v>
      </c>
      <c r="AS11" s="342"/>
      <c r="AT11" s="342"/>
      <c r="AV11" s="345" t="s">
        <v>279</v>
      </c>
      <c r="AW11" s="331">
        <v>17.28</v>
      </c>
      <c r="AX11" s="341">
        <f t="shared" si="12"/>
        <v>37.411200000000001</v>
      </c>
      <c r="AY11" s="342"/>
      <c r="BA11" s="345" t="s">
        <v>279</v>
      </c>
      <c r="BB11" s="331">
        <v>17.28</v>
      </c>
      <c r="BC11" s="341">
        <f t="shared" si="13"/>
        <v>37.411200000000001</v>
      </c>
      <c r="BD11" s="342"/>
      <c r="BE11" s="316" t="str">
        <f>+AJ1</f>
        <v>IVAN SALAZAR</v>
      </c>
      <c r="BF11" s="321">
        <f>+AL53</f>
        <v>60332.749263348742</v>
      </c>
      <c r="BG11" s="321">
        <f>+BF11*AM54</f>
        <v>7843.2574042353363</v>
      </c>
      <c r="BH11" s="321">
        <f>+BG11+BF11</f>
        <v>68176.006667584079</v>
      </c>
      <c r="BI11" s="322">
        <f t="shared" si="1"/>
        <v>3636.1700463793013</v>
      </c>
      <c r="BJ11" s="323"/>
      <c r="BK11" s="323">
        <f>+AL25</f>
        <v>34024.133983470805</v>
      </c>
      <c r="BO11" s="320"/>
      <c r="BP11" s="345" t="s">
        <v>279</v>
      </c>
      <c r="BQ11" s="331">
        <v>17.28</v>
      </c>
      <c r="BR11" s="341">
        <f t="shared" si="14"/>
        <v>37.411200000000001</v>
      </c>
      <c r="BS11" s="342"/>
      <c r="BT11" s="320"/>
      <c r="BU11" s="345" t="s">
        <v>279</v>
      </c>
      <c r="BV11" s="331">
        <v>17.28</v>
      </c>
      <c r="BW11" s="341">
        <f t="shared" si="15"/>
        <v>37.411200000000001</v>
      </c>
      <c r="BX11" s="342"/>
    </row>
    <row r="12" spans="1:78" ht="26.25" x14ac:dyDescent="0.25">
      <c r="B12" s="344" t="s">
        <v>279</v>
      </c>
      <c r="C12" s="329">
        <v>17.28</v>
      </c>
      <c r="D12" s="338">
        <f t="shared" si="2"/>
        <v>37.411200000000001</v>
      </c>
      <c r="G12" s="344" t="s">
        <v>278</v>
      </c>
      <c r="H12" s="329">
        <v>138.25</v>
      </c>
      <c r="I12" s="338">
        <f t="shared" si="3"/>
        <v>299.31125000000003</v>
      </c>
      <c r="L12" s="344" t="s">
        <v>279</v>
      </c>
      <c r="M12" s="329">
        <v>17.28</v>
      </c>
      <c r="N12" s="338">
        <f t="shared" si="4"/>
        <v>37.411200000000001</v>
      </c>
      <c r="Q12" s="344" t="s">
        <v>278</v>
      </c>
      <c r="R12" s="329">
        <v>138.25</v>
      </c>
      <c r="S12" s="338">
        <f t="shared" si="11"/>
        <v>299.31125000000003</v>
      </c>
      <c r="V12" s="344" t="s">
        <v>278</v>
      </c>
      <c r="W12" s="329">
        <v>138.25</v>
      </c>
      <c r="X12" s="338">
        <f t="shared" si="5"/>
        <v>299.31125000000003</v>
      </c>
      <c r="AA12" s="344" t="s">
        <v>278</v>
      </c>
      <c r="AB12" s="329">
        <v>138.25</v>
      </c>
      <c r="AC12" s="338">
        <f t="shared" si="6"/>
        <v>299.31125000000003</v>
      </c>
      <c r="AF12" s="344" t="s">
        <v>278</v>
      </c>
      <c r="AG12" s="329">
        <v>138.25</v>
      </c>
      <c r="AH12" s="338">
        <f t="shared" si="7"/>
        <v>299.31125000000003</v>
      </c>
      <c r="AK12" s="344" t="s">
        <v>278</v>
      </c>
      <c r="AL12" s="329">
        <v>138.25</v>
      </c>
      <c r="AM12" s="338">
        <f t="shared" si="8"/>
        <v>299.31125000000003</v>
      </c>
      <c r="AN12" s="339"/>
      <c r="AP12" s="345" t="s">
        <v>278</v>
      </c>
      <c r="AQ12" s="331">
        <v>138.25</v>
      </c>
      <c r="AR12" s="341">
        <f t="shared" si="9"/>
        <v>299.31125000000003</v>
      </c>
      <c r="AS12" s="342"/>
      <c r="AT12" s="342"/>
      <c r="AV12" s="345" t="s">
        <v>278</v>
      </c>
      <c r="AW12" s="331">
        <v>138.25</v>
      </c>
      <c r="AX12" s="341">
        <f t="shared" si="12"/>
        <v>299.31125000000003</v>
      </c>
      <c r="AY12" s="342"/>
      <c r="BA12" s="345" t="s">
        <v>278</v>
      </c>
      <c r="BB12" s="331">
        <v>138.25</v>
      </c>
      <c r="BC12" s="341">
        <f t="shared" si="13"/>
        <v>299.31125000000003</v>
      </c>
      <c r="BD12" s="342"/>
      <c r="BE12" s="316" t="s">
        <v>280</v>
      </c>
      <c r="BF12" s="321">
        <f>+AW46</f>
        <v>89068.476515584334</v>
      </c>
      <c r="BG12" s="321">
        <f>+BF12*AX54</f>
        <v>0</v>
      </c>
      <c r="BH12" s="321">
        <f>+BF12+BG12</f>
        <v>89068.476515584334</v>
      </c>
      <c r="BI12" s="322">
        <f>BH12/$BI$2</f>
        <v>4750.4707625622332</v>
      </c>
      <c r="BK12" s="323">
        <f>+AW25</f>
        <v>53068.964544243368</v>
      </c>
      <c r="BO12" s="320"/>
      <c r="BP12" s="345" t="s">
        <v>278</v>
      </c>
      <c r="BQ12" s="331">
        <v>138.25</v>
      </c>
      <c r="BR12" s="341">
        <f t="shared" si="14"/>
        <v>299.31125000000003</v>
      </c>
      <c r="BS12" s="342"/>
      <c r="BT12" s="320"/>
      <c r="BU12" s="345" t="s">
        <v>278</v>
      </c>
      <c r="BV12" s="331">
        <v>138.25</v>
      </c>
      <c r="BW12" s="341">
        <f t="shared" si="15"/>
        <v>299.31125000000003</v>
      </c>
      <c r="BX12" s="342"/>
    </row>
    <row r="13" spans="1:78" ht="26.25" x14ac:dyDescent="0.25">
      <c r="B13" s="344" t="s">
        <v>281</v>
      </c>
      <c r="C13" s="329">
        <v>12047.93</v>
      </c>
      <c r="D13" s="338">
        <f t="shared" si="2"/>
        <v>26083.76845</v>
      </c>
      <c r="G13" s="344" t="s">
        <v>281</v>
      </c>
      <c r="H13" s="329">
        <v>7004.61</v>
      </c>
      <c r="I13" s="338">
        <f t="shared" si="3"/>
        <v>15164.98065</v>
      </c>
      <c r="L13" s="344" t="s">
        <v>281</v>
      </c>
      <c r="M13" s="329">
        <v>7503.34</v>
      </c>
      <c r="N13" s="338">
        <f t="shared" si="4"/>
        <v>16244.731100000001</v>
      </c>
      <c r="Q13" s="344" t="s">
        <v>281</v>
      </c>
      <c r="R13" s="329">
        <v>46082.95</v>
      </c>
      <c r="S13" s="338">
        <f t="shared" si="11"/>
        <v>99769.586750000002</v>
      </c>
      <c r="V13" s="344" t="s">
        <v>281</v>
      </c>
      <c r="W13" s="329">
        <v>2565.4160000000002</v>
      </c>
      <c r="X13" s="338">
        <f t="shared" si="5"/>
        <v>5554.1256400000002</v>
      </c>
      <c r="AA13" s="344" t="s">
        <v>281</v>
      </c>
      <c r="AB13" s="329">
        <v>2937.7880000000005</v>
      </c>
      <c r="AC13" s="338">
        <f t="shared" si="6"/>
        <v>6360.311020000001</v>
      </c>
      <c r="AF13" s="344" t="s">
        <v>281</v>
      </c>
      <c r="AG13" s="329">
        <v>2520</v>
      </c>
      <c r="AH13" s="338">
        <f t="shared" si="7"/>
        <v>5455.8</v>
      </c>
      <c r="AI13" s="323"/>
      <c r="AK13" s="344" t="s">
        <v>281</v>
      </c>
      <c r="AL13" s="329">
        <v>3394.0760000000005</v>
      </c>
      <c r="AM13" s="338">
        <f t="shared" si="8"/>
        <v>7348.1745400000009</v>
      </c>
      <c r="AN13" s="339"/>
      <c r="AP13" s="345" t="s">
        <v>281</v>
      </c>
      <c r="AQ13" s="331">
        <v>2935.9638</v>
      </c>
      <c r="AR13" s="341">
        <f t="shared" si="9"/>
        <v>6356.3616270000002</v>
      </c>
      <c r="AS13" s="342"/>
      <c r="AT13" s="342"/>
      <c r="AV13" s="345" t="s">
        <v>281</v>
      </c>
      <c r="AW13" s="331">
        <v>32836.037456221195</v>
      </c>
      <c r="AX13" s="341">
        <f t="shared" si="12"/>
        <v>71090.021092718889</v>
      </c>
      <c r="AY13" s="342"/>
      <c r="BA13" s="345" t="s">
        <v>281</v>
      </c>
      <c r="BB13" s="331">
        <v>25429.081658986172</v>
      </c>
      <c r="BC13" s="341">
        <f t="shared" si="13"/>
        <v>55053.961791705064</v>
      </c>
      <c r="BD13" s="342"/>
      <c r="BF13" s="346"/>
      <c r="BG13" s="347" t="s">
        <v>282</v>
      </c>
      <c r="BH13" s="348">
        <f>SUM(BH4:BH12)</f>
        <v>829048.88427450368</v>
      </c>
      <c r="BI13" s="349">
        <f>BH13/$BI$2</f>
        <v>44217.355450014591</v>
      </c>
      <c r="BK13" s="350">
        <f>SUM(BK4:BK12)</f>
        <v>440752.30020278686</v>
      </c>
      <c r="BO13" s="320"/>
      <c r="BP13" s="345" t="s">
        <v>281</v>
      </c>
      <c r="BQ13" s="331">
        <v>13806.595686635945</v>
      </c>
      <c r="BR13" s="341">
        <f t="shared" si="14"/>
        <v>29891.279661566819</v>
      </c>
      <c r="BS13" s="342"/>
      <c r="BT13" s="320"/>
      <c r="BU13" s="345" t="s">
        <v>281</v>
      </c>
      <c r="BV13" s="331">
        <v>10541.177585253457</v>
      </c>
      <c r="BW13" s="341">
        <f t="shared" si="15"/>
        <v>22821.649472073736</v>
      </c>
      <c r="BX13" s="342"/>
    </row>
    <row r="14" spans="1:78" x14ac:dyDescent="0.25">
      <c r="B14" s="337" t="s">
        <v>283</v>
      </c>
      <c r="C14" s="329">
        <v>1520.58</v>
      </c>
      <c r="D14" s="338">
        <f t="shared" si="2"/>
        <v>3292.0556999999999</v>
      </c>
      <c r="G14" s="337" t="s">
        <v>283</v>
      </c>
      <c r="H14" s="329">
        <v>1520.58</v>
      </c>
      <c r="I14" s="338">
        <f t="shared" si="3"/>
        <v>3292.0556999999999</v>
      </c>
      <c r="L14" s="337" t="s">
        <v>283</v>
      </c>
      <c r="M14" s="329">
        <v>1520.58</v>
      </c>
      <c r="N14" s="338">
        <f t="shared" si="4"/>
        <v>3292.0556999999999</v>
      </c>
      <c r="Q14" s="337" t="s">
        <v>284</v>
      </c>
      <c r="R14" s="329">
        <v>1520.58</v>
      </c>
      <c r="S14" s="338">
        <f t="shared" si="11"/>
        <v>3292.0556999999999</v>
      </c>
      <c r="V14" s="337" t="s">
        <v>284</v>
      </c>
      <c r="W14" s="329">
        <v>1520.58</v>
      </c>
      <c r="X14" s="338">
        <f t="shared" si="5"/>
        <v>3292.0556999999999</v>
      </c>
      <c r="AA14" s="337" t="s">
        <v>284</v>
      </c>
      <c r="AB14" s="329">
        <v>1520.58</v>
      </c>
      <c r="AC14" s="338">
        <f t="shared" si="6"/>
        <v>3292.0556999999999</v>
      </c>
      <c r="AF14" s="337" t="s">
        <v>284</v>
      </c>
      <c r="AG14" s="329">
        <v>1520.58</v>
      </c>
      <c r="AH14" s="338">
        <f t="shared" si="7"/>
        <v>3292.0556999999999</v>
      </c>
      <c r="AK14" s="337" t="s">
        <v>284</v>
      </c>
      <c r="AL14" s="329">
        <v>1520.58</v>
      </c>
      <c r="AM14" s="338">
        <f t="shared" si="8"/>
        <v>3292.0556999999999</v>
      </c>
      <c r="AN14" s="339"/>
      <c r="AP14" s="340" t="s">
        <v>284</v>
      </c>
      <c r="AQ14" s="331">
        <v>1520.58</v>
      </c>
      <c r="AR14" s="341">
        <f t="shared" si="9"/>
        <v>3292.0556999999999</v>
      </c>
      <c r="AS14" s="342"/>
      <c r="AT14" s="342"/>
      <c r="AV14" s="340" t="s">
        <v>284</v>
      </c>
      <c r="AW14" s="331">
        <v>1520.58</v>
      </c>
      <c r="AX14" s="341">
        <f t="shared" si="12"/>
        <v>3292.0556999999999</v>
      </c>
      <c r="AY14" s="342"/>
      <c r="BA14" s="340" t="s">
        <v>284</v>
      </c>
      <c r="BB14" s="331">
        <v>1520.58</v>
      </c>
      <c r="BC14" s="341">
        <f t="shared" si="13"/>
        <v>3292.0556999999999</v>
      </c>
      <c r="BD14" s="342"/>
      <c r="BE14" s="323"/>
      <c r="BF14" s="323"/>
      <c r="BH14" s="323"/>
      <c r="BI14" s="322">
        <v>0</v>
      </c>
      <c r="BO14" s="320"/>
      <c r="BP14" s="340" t="s">
        <v>284</v>
      </c>
      <c r="BQ14" s="331">
        <v>1520.58</v>
      </c>
      <c r="BR14" s="341">
        <f t="shared" si="14"/>
        <v>3292.0556999999999</v>
      </c>
      <c r="BS14" s="342"/>
      <c r="BT14" s="320"/>
      <c r="BU14" s="340" t="s">
        <v>284</v>
      </c>
      <c r="BV14" s="331">
        <v>1520.58</v>
      </c>
      <c r="BW14" s="341">
        <f t="shared" si="15"/>
        <v>3292.0556999999999</v>
      </c>
      <c r="BX14" s="342"/>
    </row>
    <row r="15" spans="1:78" x14ac:dyDescent="0.25">
      <c r="B15" s="337" t="s">
        <v>285</v>
      </c>
      <c r="C15" s="329">
        <v>990.78</v>
      </c>
      <c r="D15" s="338">
        <f t="shared" si="2"/>
        <v>2145.0387000000001</v>
      </c>
      <c r="G15" s="337" t="s">
        <v>285</v>
      </c>
      <c r="H15" s="329">
        <v>576.04</v>
      </c>
      <c r="I15" s="338">
        <f t="shared" si="3"/>
        <v>1247.1266000000001</v>
      </c>
      <c r="L15" s="337" t="s">
        <v>285</v>
      </c>
      <c r="M15" s="329">
        <v>617.04999999999995</v>
      </c>
      <c r="N15" s="338">
        <f t="shared" si="4"/>
        <v>1335.9132499999998</v>
      </c>
      <c r="Q15" s="337" t="s">
        <v>285</v>
      </c>
      <c r="R15" s="329">
        <v>2027.65</v>
      </c>
      <c r="S15" s="338">
        <f t="shared" si="11"/>
        <v>4389.8622500000001</v>
      </c>
      <c r="V15" s="337" t="s">
        <v>285</v>
      </c>
      <c r="W15" s="329">
        <v>210.97</v>
      </c>
      <c r="X15" s="338">
        <f t="shared" si="5"/>
        <v>456.75004999999999</v>
      </c>
      <c r="AA15" s="337" t="s">
        <v>285</v>
      </c>
      <c r="AB15" s="329">
        <v>241.59440789473686</v>
      </c>
      <c r="AC15" s="338">
        <f t="shared" si="6"/>
        <v>523.05189309210527</v>
      </c>
      <c r="AF15" s="337" t="s">
        <v>285</v>
      </c>
      <c r="AG15" s="329">
        <v>207.24</v>
      </c>
      <c r="AH15" s="338">
        <f t="shared" si="7"/>
        <v>448.67460000000005</v>
      </c>
      <c r="AK15" s="337" t="s">
        <v>285</v>
      </c>
      <c r="AL15" s="329">
        <v>558.2361842105264</v>
      </c>
      <c r="AM15" s="338">
        <f t="shared" si="8"/>
        <v>1208.5813388157896</v>
      </c>
      <c r="AN15" s="339"/>
      <c r="AP15" s="340" t="s">
        <v>285</v>
      </c>
      <c r="AQ15" s="331">
        <v>365.82483552631572</v>
      </c>
      <c r="AR15" s="341">
        <f t="shared" si="9"/>
        <v>792.0107689144736</v>
      </c>
      <c r="AS15" s="342"/>
      <c r="AT15" s="342"/>
      <c r="AV15" s="340" t="s">
        <v>285</v>
      </c>
      <c r="AW15" s="331">
        <v>540.06640552995395</v>
      </c>
      <c r="AX15" s="341">
        <f t="shared" si="12"/>
        <v>1169.2437679723503</v>
      </c>
      <c r="AY15" s="342"/>
      <c r="BA15" s="340" t="s">
        <v>285</v>
      </c>
      <c r="BB15" s="331">
        <v>418.2414746543779</v>
      </c>
      <c r="BC15" s="341">
        <f t="shared" si="13"/>
        <v>905.49279262672815</v>
      </c>
      <c r="BD15" s="342"/>
      <c r="BJ15" s="339"/>
      <c r="BK15" s="339"/>
      <c r="BL15" s="339"/>
      <c r="BM15" s="351"/>
      <c r="BO15" s="320"/>
      <c r="BP15" s="340" t="s">
        <v>285</v>
      </c>
      <c r="BQ15" s="331">
        <v>227.08216589861752</v>
      </c>
      <c r="BR15" s="341">
        <f t="shared" si="14"/>
        <v>491.63288917050693</v>
      </c>
      <c r="BS15" s="342"/>
      <c r="BT15" s="320"/>
      <c r="BU15" s="340" t="s">
        <v>285</v>
      </c>
      <c r="BV15" s="331">
        <v>173.37463133640554</v>
      </c>
      <c r="BW15" s="341">
        <f t="shared" si="15"/>
        <v>375.35607684331802</v>
      </c>
      <c r="BX15" s="342"/>
    </row>
    <row r="16" spans="1:78" x14ac:dyDescent="0.25">
      <c r="B16" s="352" t="s">
        <v>286</v>
      </c>
      <c r="C16" s="353">
        <f>SUM(C6:C15)</f>
        <v>85892.7</v>
      </c>
      <c r="D16" s="354">
        <f>SUM(D6:D15)</f>
        <v>185957.6955</v>
      </c>
      <c r="G16" s="352" t="s">
        <v>286</v>
      </c>
      <c r="H16" s="353">
        <f>SUM(H6:H15)</f>
        <v>50639.240000000005</v>
      </c>
      <c r="I16" s="354">
        <f>SUM(I6:I15)</f>
        <v>109633.95459999998</v>
      </c>
      <c r="J16" s="355"/>
      <c r="L16" s="352" t="s">
        <v>286</v>
      </c>
      <c r="M16" s="353">
        <f>SUM(M6:M15)</f>
        <v>54125.41</v>
      </c>
      <c r="N16" s="354">
        <f>SUM(N6:N15)</f>
        <v>117181.51265000002</v>
      </c>
      <c r="O16" s="355"/>
      <c r="Q16" s="352" t="s">
        <v>286</v>
      </c>
      <c r="R16" s="353">
        <f>SUM(R6:R15)</f>
        <v>195453.07999999996</v>
      </c>
      <c r="S16" s="354">
        <f>SUM(S6:S15)</f>
        <v>423155.91820000007</v>
      </c>
      <c r="T16" s="355"/>
      <c r="V16" s="352" t="s">
        <v>286</v>
      </c>
      <c r="W16" s="353">
        <f>SUM(W6:W15)</f>
        <v>34780.633095890407</v>
      </c>
      <c r="X16" s="354">
        <f>SUM(X6:X15)</f>
        <v>75300.070652602735</v>
      </c>
      <c r="Y16" s="355"/>
      <c r="AA16" s="352" t="s">
        <v>286</v>
      </c>
      <c r="AB16" s="353">
        <f>SUM(AB6:AB15)</f>
        <v>39585.77268186734</v>
      </c>
      <c r="AC16" s="354">
        <f>SUM(AC6:AC15)</f>
        <v>85703.197856242798</v>
      </c>
      <c r="AD16" s="355"/>
      <c r="AF16" s="352" t="s">
        <v>286</v>
      </c>
      <c r="AG16" s="353">
        <f>SUM(AG6:AG15)</f>
        <v>34194.579999999994</v>
      </c>
      <c r="AH16" s="354">
        <f>SUM(AH6:AH15)</f>
        <v>74031.265700000004</v>
      </c>
      <c r="AK16" s="352" t="s">
        <v>286</v>
      </c>
      <c r="AL16" s="353">
        <f>SUM(AL6:AL15)</f>
        <v>45752.909691059845</v>
      </c>
      <c r="AM16" s="354">
        <f>SUM(AM6:AM15)</f>
        <v>99055.049481144568</v>
      </c>
      <c r="AN16" s="356"/>
      <c r="AP16" s="357" t="s">
        <v>286</v>
      </c>
      <c r="AQ16" s="358">
        <f>SUM(AQ6:AQ15)</f>
        <v>57566.872471142742</v>
      </c>
      <c r="AR16" s="359">
        <f>SUM(AR6:AR15)</f>
        <v>124632.27890002404</v>
      </c>
      <c r="AS16" s="360"/>
      <c r="AT16" s="360"/>
      <c r="AV16" s="357" t="s">
        <v>286</v>
      </c>
      <c r="AW16" s="358">
        <f>SUM(AW6:AW15)</f>
        <v>73850.583359210767</v>
      </c>
      <c r="AX16" s="359">
        <f>SUM(AX6:AX15)</f>
        <v>159886.5129726913</v>
      </c>
      <c r="AY16" s="360"/>
      <c r="BA16" s="357" t="s">
        <v>286</v>
      </c>
      <c r="BB16" s="358">
        <f>SUM(BB6:BB15)</f>
        <v>57569.899839674035</v>
      </c>
      <c r="BC16" s="359">
        <f>SUM(BC6:BC15)</f>
        <v>124638.83315289428</v>
      </c>
      <c r="BD16" s="360"/>
      <c r="BE16" s="339"/>
      <c r="BF16" s="339"/>
      <c r="BG16" s="339"/>
      <c r="BH16" s="339"/>
      <c r="BI16" s="339"/>
      <c r="BJ16" s="356"/>
      <c r="BK16" s="356"/>
      <c r="BL16" s="356"/>
      <c r="BM16" s="361"/>
      <c r="BO16" s="320"/>
      <c r="BP16" s="357" t="s">
        <v>286</v>
      </c>
      <c r="BQ16" s="358">
        <f>SUM(BQ6:BQ15)</f>
        <v>32023.370198343575</v>
      </c>
      <c r="BR16" s="359">
        <f>SUM(BR6:BR15)</f>
        <v>69330.596479413827</v>
      </c>
      <c r="BS16" s="360"/>
      <c r="BT16" s="320"/>
      <c r="BU16" s="357" t="s">
        <v>286</v>
      </c>
      <c r="BV16" s="358">
        <f>SUM(BV6:BV15)</f>
        <v>24845.895386434971</v>
      </c>
      <c r="BW16" s="359">
        <f>SUM(BW6:BW15)</f>
        <v>53791.363511631702</v>
      </c>
      <c r="BX16" s="360"/>
    </row>
    <row r="17" spans="1:94" x14ac:dyDescent="0.25">
      <c r="C17" s="329"/>
      <c r="H17" s="329"/>
      <c r="M17" s="329"/>
      <c r="N17" s="355"/>
      <c r="R17" s="329"/>
      <c r="W17" s="329"/>
      <c r="AB17" s="329"/>
      <c r="AG17" s="329"/>
      <c r="AL17" s="329"/>
      <c r="AQ17" s="331"/>
      <c r="AW17" s="331"/>
      <c r="AX17" s="334"/>
      <c r="BB17" s="331"/>
      <c r="BE17" s="356"/>
      <c r="BF17" s="356"/>
      <c r="BG17" s="356"/>
      <c r="BH17" s="356"/>
      <c r="BI17" s="356"/>
      <c r="BO17" s="320"/>
      <c r="BP17" s="320"/>
      <c r="BQ17" s="331"/>
      <c r="BR17" s="334"/>
      <c r="BS17" s="320"/>
      <c r="BT17" s="320"/>
      <c r="BU17" s="320"/>
      <c r="BV17" s="331"/>
      <c r="BW17" s="320"/>
      <c r="BX17" s="320"/>
    </row>
    <row r="18" spans="1:94" x14ac:dyDescent="0.25">
      <c r="A18" s="324" t="s">
        <v>287</v>
      </c>
      <c r="C18" s="329"/>
      <c r="D18" s="323"/>
      <c r="F18" s="324" t="s">
        <v>287</v>
      </c>
      <c r="H18" s="329"/>
      <c r="K18" s="324" t="s">
        <v>287</v>
      </c>
      <c r="M18" s="329"/>
      <c r="P18" s="324" t="s">
        <v>287</v>
      </c>
      <c r="R18" s="329"/>
      <c r="U18" s="324" t="s">
        <v>287</v>
      </c>
      <c r="W18" s="329"/>
      <c r="Z18" s="324" t="s">
        <v>287</v>
      </c>
      <c r="AB18" s="329"/>
      <c r="AE18" s="324" t="s">
        <v>287</v>
      </c>
      <c r="AG18" s="329"/>
      <c r="AJ18" s="324" t="s">
        <v>287</v>
      </c>
      <c r="AL18" s="329"/>
      <c r="AO18" s="327" t="s">
        <v>287</v>
      </c>
      <c r="AQ18" s="331"/>
      <c r="AU18" s="327" t="s">
        <v>287</v>
      </c>
      <c r="AW18" s="331"/>
      <c r="AZ18" s="327" t="s">
        <v>287</v>
      </c>
      <c r="BB18" s="331"/>
      <c r="BO18" s="327" t="s">
        <v>287</v>
      </c>
      <c r="BP18" s="320"/>
      <c r="BQ18" s="331"/>
      <c r="BR18" s="320"/>
      <c r="BS18" s="320"/>
      <c r="BT18" s="327" t="s">
        <v>287</v>
      </c>
      <c r="BU18" s="320"/>
      <c r="BV18" s="331"/>
      <c r="BW18" s="320"/>
      <c r="BX18" s="320"/>
    </row>
    <row r="19" spans="1:94" x14ac:dyDescent="0.25">
      <c r="B19" s="337" t="s">
        <v>288</v>
      </c>
      <c r="C19" s="333">
        <v>1119.665295</v>
      </c>
      <c r="G19" s="337" t="s">
        <v>288</v>
      </c>
      <c r="H19" s="329">
        <v>999.43918027397262</v>
      </c>
      <c r="L19" s="337" t="s">
        <v>288</v>
      </c>
      <c r="M19" s="329">
        <v>1072.0024652054794</v>
      </c>
      <c r="Q19" s="337" t="s">
        <v>288</v>
      </c>
      <c r="R19" s="329">
        <v>1119.665295</v>
      </c>
      <c r="V19" s="337" t="s">
        <v>288</v>
      </c>
      <c r="W19" s="329">
        <v>727.30240224657541</v>
      </c>
      <c r="AA19" s="337" t="s">
        <v>288</v>
      </c>
      <c r="AB19" s="329">
        <v>835.73151756164384</v>
      </c>
      <c r="AF19" s="337" t="s">
        <v>288</v>
      </c>
      <c r="AG19" s="329">
        <v>714.07794739726023</v>
      </c>
      <c r="AK19" s="337" t="s">
        <v>288</v>
      </c>
      <c r="AL19" s="329">
        <v>968.59570758904124</v>
      </c>
      <c r="AP19" s="340" t="s">
        <v>288</v>
      </c>
      <c r="AQ19" s="331">
        <v>1119.665295</v>
      </c>
      <c r="AV19" s="340" t="s">
        <v>288</v>
      </c>
      <c r="AW19" s="331">
        <v>935.79881496739722</v>
      </c>
      <c r="BA19" s="340" t="s">
        <v>288</v>
      </c>
      <c r="BB19" s="331">
        <v>720.26131765479454</v>
      </c>
      <c r="BO19" s="320"/>
      <c r="BP19" s="340" t="s">
        <v>288</v>
      </c>
      <c r="BQ19" s="331">
        <v>382.05469031589041</v>
      </c>
      <c r="BR19" s="320"/>
      <c r="BS19" s="320"/>
      <c r="BT19" s="320"/>
      <c r="BU19" s="340" t="s">
        <v>288</v>
      </c>
      <c r="BV19" s="331">
        <v>287.03319099575344</v>
      </c>
      <c r="BW19" s="320"/>
      <c r="BX19" s="320"/>
    </row>
    <row r="20" spans="1:94" x14ac:dyDescent="0.25">
      <c r="B20" s="363" t="s">
        <v>289</v>
      </c>
      <c r="C20" s="364">
        <v>23940.14</v>
      </c>
      <c r="D20" s="365" t="s">
        <v>290</v>
      </c>
      <c r="G20" s="337" t="s">
        <v>289</v>
      </c>
      <c r="H20" s="329">
        <v>12253.37</v>
      </c>
      <c r="L20" s="366" t="s">
        <v>289</v>
      </c>
      <c r="M20" s="367">
        <v>13368.94</v>
      </c>
      <c r="Q20" s="337" t="s">
        <v>289</v>
      </c>
      <c r="R20" s="329">
        <v>61190.66</v>
      </c>
      <c r="V20" s="337" t="s">
        <v>289</v>
      </c>
      <c r="W20" s="329">
        <v>7468.5</v>
      </c>
      <c r="AA20" s="337" t="s">
        <v>289</v>
      </c>
      <c r="AB20" s="329">
        <v>8910.0400000000009</v>
      </c>
      <c r="AF20" s="337" t="s">
        <v>289</v>
      </c>
      <c r="AG20" s="329">
        <v>7292.68</v>
      </c>
      <c r="AK20" s="337" t="s">
        <v>289</v>
      </c>
      <c r="AL20" s="329">
        <v>10760.18</v>
      </c>
      <c r="AP20" s="340" t="s">
        <v>289</v>
      </c>
      <c r="AQ20" s="331">
        <v>14470.21</v>
      </c>
      <c r="AV20" s="340" t="s">
        <v>289</v>
      </c>
      <c r="AW20" s="331">
        <v>19845.82</v>
      </c>
      <c r="BA20" s="340" t="s">
        <v>289</v>
      </c>
      <c r="BB20" s="331">
        <v>14471.18</v>
      </c>
      <c r="BO20" s="320"/>
      <c r="BP20" s="340" t="s">
        <v>289</v>
      </c>
      <c r="BQ20" s="331">
        <v>6641.32</v>
      </c>
      <c r="BR20" s="320"/>
      <c r="BS20" s="320"/>
      <c r="BT20" s="320"/>
      <c r="BU20" s="340" t="s">
        <v>289</v>
      </c>
      <c r="BV20" s="331">
        <v>4558.8599999999997</v>
      </c>
      <c r="BW20" s="320"/>
      <c r="BX20" s="320"/>
    </row>
    <row r="21" spans="1:94" x14ac:dyDescent="0.25">
      <c r="B21" s="337" t="s">
        <v>291</v>
      </c>
      <c r="C21" s="368">
        <f>SUM(C19:C20)</f>
        <v>25059.805294999998</v>
      </c>
      <c r="D21" s="369">
        <f>C21/D33</f>
        <v>0.63179266714520255</v>
      </c>
      <c r="G21" s="337" t="s">
        <v>291</v>
      </c>
      <c r="H21" s="368">
        <f>SUM(H19:H20)</f>
        <v>13252.809180273973</v>
      </c>
      <c r="I21" s="369">
        <f>H21/I33</f>
        <v>0.54859376249748715</v>
      </c>
      <c r="L21" s="337" t="s">
        <v>291</v>
      </c>
      <c r="M21" s="368">
        <f>SUM(M19:M20)</f>
        <v>14440.94246520548</v>
      </c>
      <c r="N21" s="369">
        <f>M21/N33</f>
        <v>0.55335877064165262</v>
      </c>
      <c r="Q21" s="337" t="s">
        <v>291</v>
      </c>
      <c r="R21" s="368">
        <f>SUM(R19:R20)</f>
        <v>62310.325295000002</v>
      </c>
      <c r="S21" s="369">
        <f>R21/S33</f>
        <v>0.73101297429862788</v>
      </c>
      <c r="V21" s="337" t="s">
        <v>291</v>
      </c>
      <c r="W21" s="368">
        <f>SUM(W19:W20)</f>
        <v>8195.8024022465761</v>
      </c>
      <c r="X21" s="369">
        <f>W21/X33</f>
        <v>0.50726467551858601</v>
      </c>
      <c r="AA21" s="337" t="s">
        <v>291</v>
      </c>
      <c r="AB21" s="368">
        <f>SUM(AB19:AB20)</f>
        <v>9745.7715175616449</v>
      </c>
      <c r="AC21" s="369">
        <f>AB21/AC33</f>
        <v>0.51810352751780653</v>
      </c>
      <c r="AF21" s="337" t="s">
        <v>291</v>
      </c>
      <c r="AG21" s="368">
        <f>SUM(AG19:AG20)</f>
        <v>8006.7579473972601</v>
      </c>
      <c r="AH21" s="369">
        <f>AG21/AH33</f>
        <v>0.50569402417634668</v>
      </c>
      <c r="AK21" s="337" t="s">
        <v>291</v>
      </c>
      <c r="AL21" s="368">
        <f>SUM(AL19:AL20)</f>
        <v>11728.775707589042</v>
      </c>
      <c r="AM21" s="369">
        <f>AL21/AM33</f>
        <v>0.52930995729863362</v>
      </c>
      <c r="AN21" s="370"/>
      <c r="AP21" s="340" t="s">
        <v>291</v>
      </c>
      <c r="AQ21" s="371">
        <f>SUM(AQ19:AQ20)</f>
        <v>15589.875295</v>
      </c>
      <c r="AR21" s="372">
        <f>AQ21/AR33</f>
        <v>0.55533710413051207</v>
      </c>
      <c r="AS21" s="373"/>
      <c r="AT21" s="373"/>
      <c r="AV21" s="340" t="s">
        <v>291</v>
      </c>
      <c r="AW21" s="371">
        <f>SUM(AW19:AW20)</f>
        <v>20781.618814967398</v>
      </c>
      <c r="AX21" s="372">
        <f>AW21/AX33</f>
        <v>0.64476958980110655</v>
      </c>
      <c r="AY21" s="373"/>
      <c r="BA21" s="340" t="s">
        <v>291</v>
      </c>
      <c r="BB21" s="371">
        <f>SUM(BB19:BB20)</f>
        <v>15191.441317654795</v>
      </c>
      <c r="BC21" s="372">
        <f>BB21/BC33</f>
        <v>0.62933531322772762</v>
      </c>
      <c r="BD21" s="373"/>
      <c r="BJ21" s="370"/>
      <c r="BK21" s="370"/>
      <c r="BL21" s="370"/>
      <c r="BM21" s="374"/>
      <c r="BO21" s="320"/>
      <c r="BP21" s="340" t="s">
        <v>291</v>
      </c>
      <c r="BQ21" s="371">
        <f>SUM(BQ19:BQ20)</f>
        <v>7023.3746903158899</v>
      </c>
      <c r="BR21" s="372">
        <f>BQ21/BR33</f>
        <v>0.58310521012461503</v>
      </c>
      <c r="BS21" s="373"/>
      <c r="BT21" s="320"/>
      <c r="BU21" s="340" t="s">
        <v>291</v>
      </c>
      <c r="BV21" s="371">
        <f>SUM(BV19:BV20)</f>
        <v>4845.8931909957528</v>
      </c>
      <c r="BW21" s="372">
        <f>BV21/BW33</f>
        <v>0.55291543153078282</v>
      </c>
      <c r="BX21" s="373"/>
    </row>
    <row r="22" spans="1:94" x14ac:dyDescent="0.25">
      <c r="C22" s="329"/>
      <c r="H22" s="329"/>
      <c r="M22" s="329"/>
      <c r="R22" s="329"/>
      <c r="W22" s="329"/>
      <c r="AB22" s="329"/>
      <c r="AG22" s="329"/>
      <c r="AL22" s="329"/>
      <c r="AQ22" s="331"/>
      <c r="AW22" s="331"/>
      <c r="BB22" s="331"/>
      <c r="BE22" s="370"/>
      <c r="BF22" s="370"/>
      <c r="BG22" s="370"/>
      <c r="BH22" s="370"/>
      <c r="BI22" s="370"/>
      <c r="BO22" s="320"/>
      <c r="BP22" s="320"/>
      <c r="BQ22" s="331"/>
      <c r="BR22" s="320"/>
      <c r="BS22" s="320"/>
      <c r="BT22" s="320"/>
      <c r="BU22" s="320"/>
      <c r="BV22" s="331"/>
      <c r="BW22" s="320"/>
      <c r="BX22" s="320"/>
    </row>
    <row r="23" spans="1:94" x14ac:dyDescent="0.25">
      <c r="B23" s="375"/>
      <c r="C23" s="376"/>
      <c r="G23" s="375"/>
      <c r="H23" s="376"/>
      <c r="L23" s="375"/>
      <c r="M23" s="376"/>
      <c r="Q23" s="375"/>
      <c r="R23" s="376"/>
      <c r="V23" s="375"/>
      <c r="W23" s="376"/>
      <c r="AA23" s="375"/>
      <c r="AB23" s="376"/>
      <c r="AF23" s="375"/>
      <c r="AG23" s="376"/>
      <c r="AK23" s="375"/>
      <c r="AL23" s="376"/>
      <c r="AP23" s="377"/>
      <c r="AQ23" s="378"/>
      <c r="AV23" s="377"/>
      <c r="AW23" s="378"/>
      <c r="BA23" s="377"/>
      <c r="BB23" s="378"/>
      <c r="BO23" s="320"/>
      <c r="BP23" s="377"/>
      <c r="BQ23" s="378"/>
      <c r="BR23" s="320"/>
      <c r="BS23" s="320"/>
      <c r="BT23" s="320"/>
      <c r="BU23" s="377"/>
      <c r="BV23" s="378"/>
      <c r="BW23" s="320"/>
      <c r="BX23" s="320"/>
    </row>
    <row r="24" spans="1:94" x14ac:dyDescent="0.25">
      <c r="C24" s="329"/>
      <c r="H24" s="329"/>
      <c r="M24" s="329"/>
      <c r="R24" s="329"/>
      <c r="W24" s="329"/>
      <c r="AB24" s="329"/>
      <c r="AG24" s="329"/>
      <c r="AL24" s="329"/>
      <c r="AQ24" s="331"/>
      <c r="AW24" s="331"/>
      <c r="BB24" s="331"/>
      <c r="BO24" s="320"/>
      <c r="BP24" s="320"/>
      <c r="BQ24" s="331"/>
      <c r="BR24" s="320"/>
      <c r="BS24" s="320"/>
      <c r="BT24" s="320"/>
      <c r="BU24" s="320"/>
      <c r="BV24" s="331"/>
      <c r="BW24" s="320"/>
      <c r="BX24" s="320"/>
    </row>
    <row r="25" spans="1:94" x14ac:dyDescent="0.25">
      <c r="B25" s="379" t="s">
        <v>292</v>
      </c>
      <c r="C25" s="380">
        <f>C16-C21-C23</f>
        <v>60832.894704999999</v>
      </c>
      <c r="G25" s="379" t="s">
        <v>292</v>
      </c>
      <c r="H25" s="380">
        <f>H16-H21-H23</f>
        <v>37386.430819726032</v>
      </c>
      <c r="L25" s="379" t="s">
        <v>292</v>
      </c>
      <c r="M25" s="380">
        <f>M16-M21-M23</f>
        <v>39684.467534794523</v>
      </c>
      <c r="Q25" s="379" t="s">
        <v>292</v>
      </c>
      <c r="R25" s="380">
        <f>R16-R21-R23</f>
        <v>133142.75470499997</v>
      </c>
      <c r="V25" s="379" t="s">
        <v>292</v>
      </c>
      <c r="W25" s="380">
        <f>W16-W21-W23</f>
        <v>26584.830693643831</v>
      </c>
      <c r="AA25" s="379" t="s">
        <v>292</v>
      </c>
      <c r="AB25" s="380">
        <f>AB16-AB21-AB23</f>
        <v>29840.001164305693</v>
      </c>
      <c r="AF25" s="379" t="s">
        <v>292</v>
      </c>
      <c r="AG25" s="380">
        <f>AG16-AG21-AG23</f>
        <v>26187.822052602736</v>
      </c>
      <c r="AK25" s="379" t="s">
        <v>292</v>
      </c>
      <c r="AL25" s="380">
        <f>AL16-AL21-AL23</f>
        <v>34024.133983470805</v>
      </c>
      <c r="AP25" s="381" t="s">
        <v>292</v>
      </c>
      <c r="AQ25" s="380">
        <f>AQ16-AQ21-AQ23</f>
        <v>41976.997176142744</v>
      </c>
      <c r="AV25" s="381" t="s">
        <v>292</v>
      </c>
      <c r="AW25" s="380">
        <f>AW16-AW21-AW23</f>
        <v>53068.964544243368</v>
      </c>
      <c r="AX25" s="310"/>
      <c r="BA25" s="381" t="s">
        <v>292</v>
      </c>
      <c r="BB25" s="380">
        <f>BB16-BB21-BB23</f>
        <v>42378.458522019238</v>
      </c>
      <c r="BD25" s="334"/>
      <c r="BO25" s="320"/>
      <c r="BP25" s="381" t="s">
        <v>292</v>
      </c>
      <c r="BQ25" s="380">
        <f>BQ16-BQ21-BQ23</f>
        <v>24999.995508027685</v>
      </c>
      <c r="BR25" s="310"/>
      <c r="BS25" s="320"/>
      <c r="BT25" s="320"/>
      <c r="BU25" s="381" t="s">
        <v>292</v>
      </c>
      <c r="BV25" s="380">
        <f>BV16-BV21-BV23</f>
        <v>20000.002195439218</v>
      </c>
      <c r="BW25" s="320"/>
      <c r="BX25" s="334"/>
    </row>
    <row r="26" spans="1:94" x14ac:dyDescent="0.25">
      <c r="A26" s="382"/>
      <c r="B26" s="337"/>
      <c r="C26" s="383"/>
      <c r="E26" s="382"/>
      <c r="F26" s="382"/>
      <c r="G26" s="337"/>
      <c r="H26" s="383"/>
      <c r="J26" s="382"/>
      <c r="K26" s="382"/>
      <c r="L26" s="337"/>
      <c r="M26" s="383"/>
      <c r="O26" s="382"/>
      <c r="P26" s="382"/>
      <c r="Q26" s="337"/>
      <c r="R26" s="383"/>
      <c r="T26" s="382"/>
      <c r="U26" s="382"/>
      <c r="V26" s="337"/>
      <c r="W26" s="383"/>
      <c r="Y26" s="382"/>
      <c r="Z26" s="382"/>
      <c r="AA26" s="337"/>
      <c r="AB26" s="383"/>
      <c r="AD26" s="382"/>
      <c r="AE26" s="382"/>
      <c r="AF26" s="337"/>
      <c r="AG26" s="383"/>
      <c r="AI26" s="382"/>
      <c r="AJ26" s="382"/>
      <c r="AK26" s="337"/>
      <c r="AL26" s="383"/>
      <c r="AO26" s="384"/>
      <c r="AP26" s="340"/>
      <c r="AQ26" s="383"/>
      <c r="AU26" s="384"/>
      <c r="AV26" s="340"/>
      <c r="AW26" s="383"/>
      <c r="AX26" s="334"/>
      <c r="AZ26" s="384"/>
      <c r="BA26" s="340"/>
      <c r="BB26" s="383"/>
      <c r="BE26" s="323"/>
      <c r="BO26" s="384"/>
      <c r="BP26" s="340"/>
      <c r="BQ26" s="383"/>
      <c r="BR26" s="334"/>
      <c r="BS26" s="320"/>
      <c r="BT26" s="384"/>
      <c r="BU26" s="340"/>
      <c r="BV26" s="383"/>
      <c r="BW26" s="320"/>
      <c r="BX26" s="320"/>
    </row>
    <row r="27" spans="1:94" s="382" customFormat="1" x14ac:dyDescent="0.25">
      <c r="A27" s="324" t="s">
        <v>293</v>
      </c>
      <c r="B27" s="306"/>
      <c r="C27" s="329"/>
      <c r="D27" s="306"/>
      <c r="E27" s="306"/>
      <c r="F27" s="324" t="s">
        <v>293</v>
      </c>
      <c r="G27" s="306"/>
      <c r="H27" s="329"/>
      <c r="I27" s="306"/>
      <c r="J27" s="306"/>
      <c r="K27" s="324" t="s">
        <v>293</v>
      </c>
      <c r="L27" s="306"/>
      <c r="M27" s="329"/>
      <c r="N27" s="306"/>
      <c r="O27" s="306"/>
      <c r="P27" s="324" t="s">
        <v>293</v>
      </c>
      <c r="Q27" s="306"/>
      <c r="R27" s="329"/>
      <c r="S27" s="306"/>
      <c r="T27" s="306"/>
      <c r="U27" s="324" t="s">
        <v>293</v>
      </c>
      <c r="V27" s="306"/>
      <c r="W27" s="329"/>
      <c r="X27" s="306"/>
      <c r="Y27" s="306"/>
      <c r="Z27" s="324" t="s">
        <v>293</v>
      </c>
      <c r="AA27" s="306"/>
      <c r="AB27" s="329"/>
      <c r="AC27" s="306"/>
      <c r="AD27" s="306"/>
      <c r="AE27" s="324" t="s">
        <v>293</v>
      </c>
      <c r="AF27" s="306"/>
      <c r="AG27" s="329"/>
      <c r="AH27" s="306"/>
      <c r="AI27" s="306"/>
      <c r="AJ27" s="324" t="s">
        <v>293</v>
      </c>
      <c r="AK27" s="306"/>
      <c r="AL27" s="329"/>
      <c r="AM27" s="306"/>
      <c r="AN27" s="306"/>
      <c r="AO27" s="327" t="s">
        <v>293</v>
      </c>
      <c r="AP27" s="320"/>
      <c r="AQ27" s="331"/>
      <c r="AR27" s="320"/>
      <c r="AS27" s="320"/>
      <c r="AT27" s="320"/>
      <c r="AU27" s="327" t="s">
        <v>293</v>
      </c>
      <c r="AV27" s="320"/>
      <c r="AW27" s="331"/>
      <c r="AX27" s="320"/>
      <c r="AY27" s="320"/>
      <c r="AZ27" s="327" t="s">
        <v>293</v>
      </c>
      <c r="BA27" s="320"/>
      <c r="BB27" s="331"/>
      <c r="BC27" s="320"/>
      <c r="BD27" s="320"/>
      <c r="BE27" s="306"/>
      <c r="BF27" s="306"/>
      <c r="BG27" s="306"/>
      <c r="BH27" s="306"/>
      <c r="BI27" s="306"/>
      <c r="BJ27" s="306"/>
      <c r="BK27" s="306"/>
      <c r="BL27" s="306"/>
      <c r="BM27" s="309"/>
      <c r="BO27" s="327" t="s">
        <v>293</v>
      </c>
      <c r="BP27" s="320"/>
      <c r="BQ27" s="331"/>
      <c r="BR27" s="320"/>
      <c r="BS27" s="320"/>
      <c r="BT27" s="327" t="s">
        <v>293</v>
      </c>
      <c r="BU27" s="320"/>
      <c r="BV27" s="331"/>
      <c r="BW27" s="320"/>
      <c r="BX27" s="320"/>
      <c r="BY27" s="385"/>
      <c r="CP27" s="386"/>
    </row>
    <row r="28" spans="1:94" x14ac:dyDescent="0.25">
      <c r="B28" s="337" t="s">
        <v>294</v>
      </c>
      <c r="C28" s="329">
        <v>3606.5786400000006</v>
      </c>
      <c r="G28" s="337" t="s">
        <v>294</v>
      </c>
      <c r="H28" s="329">
        <v>3255.6483591780825</v>
      </c>
      <c r="L28" s="337" t="s">
        <v>294</v>
      </c>
      <c r="M28" s="329">
        <v>3467.4547043835614</v>
      </c>
      <c r="Q28" s="337" t="s">
        <v>294</v>
      </c>
      <c r="R28" s="329">
        <v>3606.5786400000006</v>
      </c>
      <c r="V28" s="337" t="s">
        <v>294</v>
      </c>
      <c r="W28" s="329">
        <v>2461.3031692602744</v>
      </c>
      <c r="AA28" s="337" t="s">
        <v>294</v>
      </c>
      <c r="AB28" s="329">
        <v>2777.7989653150689</v>
      </c>
      <c r="AF28" s="337" t="s">
        <v>294</v>
      </c>
      <c r="AG28" s="329">
        <v>2422.7020578082193</v>
      </c>
      <c r="AK28" s="337" t="s">
        <v>294</v>
      </c>
      <c r="AL28" s="329">
        <v>3165.6187632328774</v>
      </c>
      <c r="AP28" s="340" t="s">
        <v>294</v>
      </c>
      <c r="AQ28" s="331">
        <v>3606.5786400000006</v>
      </c>
      <c r="AV28" s="340" t="s">
        <v>294</v>
      </c>
      <c r="AW28" s="331">
        <v>3069.8872928778082</v>
      </c>
      <c r="BA28" s="340" t="s">
        <v>294</v>
      </c>
      <c r="BB28" s="331">
        <v>2440.7508142356164</v>
      </c>
      <c r="BO28" s="320"/>
      <c r="BP28" s="340" t="s">
        <v>294</v>
      </c>
      <c r="BQ28" s="331">
        <v>1453.5530911923288</v>
      </c>
      <c r="BR28" s="320"/>
      <c r="BS28" s="320"/>
      <c r="BT28" s="320"/>
      <c r="BU28" s="340" t="s">
        <v>294</v>
      </c>
      <c r="BV28" s="331">
        <v>1176.1930391227399</v>
      </c>
      <c r="BW28" s="320"/>
      <c r="BX28" s="320"/>
    </row>
    <row r="29" spans="1:94" x14ac:dyDescent="0.25">
      <c r="B29" s="337" t="s">
        <v>295</v>
      </c>
      <c r="C29" s="329">
        <v>3158.4383561643835</v>
      </c>
      <c r="G29" s="337" t="s">
        <v>295</v>
      </c>
      <c r="H29" s="329">
        <v>1836.3013698630136</v>
      </c>
      <c r="L29" s="337" t="s">
        <v>295</v>
      </c>
      <c r="M29" s="329">
        <v>1967.0460273972601</v>
      </c>
      <c r="Q29" s="337" t="s">
        <v>295</v>
      </c>
      <c r="R29" s="329">
        <v>6463.7808219178096</v>
      </c>
      <c r="V29" s="337" t="s">
        <v>295</v>
      </c>
      <c r="W29" s="329">
        <v>1345.9648328767125</v>
      </c>
      <c r="AA29" s="337" t="s">
        <v>295</v>
      </c>
      <c r="AB29" s="329">
        <v>1541.3326082191782</v>
      </c>
      <c r="AF29" s="337" t="s">
        <v>295</v>
      </c>
      <c r="AG29" s="329">
        <v>1322.1369863013699</v>
      </c>
      <c r="AK29" s="337" t="s">
        <v>295</v>
      </c>
      <c r="AL29" s="329">
        <v>1780.7275452054798</v>
      </c>
      <c r="AP29" s="340" t="s">
        <v>295</v>
      </c>
      <c r="AQ29" s="331">
        <v>2333.9023150684934</v>
      </c>
      <c r="AV29" s="340" t="s">
        <v>295</v>
      </c>
      <c r="AW29" s="331">
        <v>1721.6340449863014</v>
      </c>
      <c r="BA29" s="340" t="s">
        <v>295</v>
      </c>
      <c r="BB29" s="331">
        <v>1333.2781939726028</v>
      </c>
      <c r="BO29" s="320"/>
      <c r="BP29" s="340" t="s">
        <v>295</v>
      </c>
      <c r="BQ29" s="331">
        <v>723.89688345205479</v>
      </c>
      <c r="BR29" s="320"/>
      <c r="BS29" s="320"/>
      <c r="BT29" s="320"/>
      <c r="BU29" s="340" t="s">
        <v>295</v>
      </c>
      <c r="BV29" s="331">
        <v>552.6869747671235</v>
      </c>
      <c r="BW29" s="320"/>
      <c r="BX29" s="320"/>
    </row>
    <row r="30" spans="1:94" x14ac:dyDescent="0.25">
      <c r="B30" s="337" t="s">
        <v>296</v>
      </c>
      <c r="C30" s="329">
        <v>3905.8951049999996</v>
      </c>
      <c r="G30" s="337" t="s">
        <v>296</v>
      </c>
      <c r="H30" s="329">
        <v>3493.7469863013698</v>
      </c>
      <c r="L30" s="337" t="s">
        <v>296</v>
      </c>
      <c r="M30" s="329">
        <v>3742.5017717260275</v>
      </c>
      <c r="Q30" s="337" t="s">
        <v>296</v>
      </c>
      <c r="R30" s="329">
        <v>3905.8951049999996</v>
      </c>
      <c r="V30" s="337" t="s">
        <v>296</v>
      </c>
      <c r="W30" s="329">
        <v>2560.832691031233</v>
      </c>
      <c r="AA30" s="337" t="s">
        <v>296</v>
      </c>
      <c r="AB30" s="329">
        <v>2932.5394203978085</v>
      </c>
      <c r="AF30" s="337" t="s">
        <v>296</v>
      </c>
      <c r="AG30" s="329">
        <v>2515.4978301369865</v>
      </c>
      <c r="AK30" s="337" t="s">
        <v>296</v>
      </c>
      <c r="AL30" s="329">
        <v>3388.01</v>
      </c>
      <c r="AP30" s="340" t="s">
        <v>296</v>
      </c>
      <c r="AQ30" s="331">
        <v>3905.8951049999996</v>
      </c>
      <c r="AV30" s="340" t="s">
        <v>296</v>
      </c>
      <c r="AW30" s="331">
        <v>3275.580933990937</v>
      </c>
      <c r="BA30" s="340" t="s">
        <v>296</v>
      </c>
      <c r="BB30" s="331">
        <v>2536.6950918522739</v>
      </c>
      <c r="BO30" s="320"/>
      <c r="BP30" s="340" t="s">
        <v>296</v>
      </c>
      <c r="BQ30" s="331">
        <v>1377.2862104558794</v>
      </c>
      <c r="BR30" s="320"/>
      <c r="BS30" s="320"/>
      <c r="BT30" s="320"/>
      <c r="BU30" s="340" t="s">
        <v>296</v>
      </c>
      <c r="BV30" s="331">
        <v>1051.5422381919291</v>
      </c>
      <c r="BW30" s="320"/>
      <c r="BX30" s="320"/>
    </row>
    <row r="31" spans="1:94" x14ac:dyDescent="0.25">
      <c r="B31" s="366" t="s">
        <v>297</v>
      </c>
      <c r="C31" s="367">
        <v>3933.8855632754658</v>
      </c>
      <c r="G31" s="366" t="s">
        <v>297</v>
      </c>
      <c r="H31" s="367">
        <v>2319.2773061834105</v>
      </c>
      <c r="L31" s="366" t="s">
        <v>297</v>
      </c>
      <c r="M31" s="367">
        <v>2478.9441227180687</v>
      </c>
      <c r="Q31" s="366" t="s">
        <v>297</v>
      </c>
      <c r="R31" s="367">
        <v>8951.7503534710413</v>
      </c>
      <c r="V31" s="366" t="s">
        <v>297</v>
      </c>
      <c r="W31" s="367">
        <v>1592.9530741338856</v>
      </c>
      <c r="AA31" s="366" t="s">
        <v>297</v>
      </c>
      <c r="AB31" s="367">
        <v>1813.0287552295242</v>
      </c>
      <c r="AF31" s="366" t="s">
        <v>297</v>
      </c>
      <c r="AG31" s="367">
        <v>1566.1117511218458</v>
      </c>
      <c r="AK31" s="366" t="s">
        <v>297</v>
      </c>
      <c r="AL31" s="367">
        <v>2095.4832638505409</v>
      </c>
      <c r="AP31" s="387" t="s">
        <v>297</v>
      </c>
      <c r="AQ31" s="388">
        <v>2636.5627591783373</v>
      </c>
      <c r="AV31" s="387" t="s">
        <v>297</v>
      </c>
      <c r="AW31" s="388">
        <v>3382.3567178518533</v>
      </c>
      <c r="BA31" s="387" t="s">
        <v>297</v>
      </c>
      <c r="BB31" s="388">
        <v>2636.7014126570707</v>
      </c>
      <c r="BO31" s="320"/>
      <c r="BP31" s="387" t="s">
        <v>297</v>
      </c>
      <c r="BQ31" s="388">
        <v>1466.6703550841355</v>
      </c>
      <c r="BR31" s="320"/>
      <c r="BS31" s="320"/>
      <c r="BT31" s="320"/>
      <c r="BU31" s="387" t="s">
        <v>297</v>
      </c>
      <c r="BV31" s="388">
        <v>1137.9420086987218</v>
      </c>
      <c r="BW31" s="320"/>
      <c r="BX31" s="320"/>
    </row>
    <row r="32" spans="1:94" x14ac:dyDescent="0.25">
      <c r="B32" s="337" t="s">
        <v>298</v>
      </c>
      <c r="C32" s="368">
        <f>SUM(C28:C31)</f>
        <v>14604.79766443985</v>
      </c>
      <c r="D32" s="389">
        <f>C32/D33</f>
        <v>0.36820733285479734</v>
      </c>
      <c r="G32" s="337" t="s">
        <v>298</v>
      </c>
      <c r="H32" s="368">
        <f>SUM(H28:H31)</f>
        <v>10904.974021525877</v>
      </c>
      <c r="I32" s="389">
        <f>H32/I33</f>
        <v>0.45140623750251274</v>
      </c>
      <c r="L32" s="337" t="s">
        <v>298</v>
      </c>
      <c r="M32" s="368">
        <f>SUM(M28:M31)</f>
        <v>11655.946626224917</v>
      </c>
      <c r="N32" s="389">
        <f>M32/N33</f>
        <v>0.44664122935834732</v>
      </c>
      <c r="Q32" s="337" t="s">
        <v>298</v>
      </c>
      <c r="R32" s="368">
        <f>SUM(R28:R31)</f>
        <v>22928.004920388852</v>
      </c>
      <c r="S32" s="389">
        <f>R32/S33</f>
        <v>0.26898702570137223</v>
      </c>
      <c r="V32" s="337" t="s">
        <v>298</v>
      </c>
      <c r="W32" s="368">
        <f>SUM(W28:W31)</f>
        <v>7961.0537673021063</v>
      </c>
      <c r="X32" s="389">
        <f>W32/X33</f>
        <v>0.49273532448141405</v>
      </c>
      <c r="AA32" s="337" t="s">
        <v>298</v>
      </c>
      <c r="AB32" s="368">
        <f>SUM(AB28:AB31)</f>
        <v>9064.6997491615803</v>
      </c>
      <c r="AC32" s="389">
        <f>AB32/AC33</f>
        <v>0.48189647248219353</v>
      </c>
      <c r="AF32" s="337" t="s">
        <v>298</v>
      </c>
      <c r="AG32" s="368">
        <f>SUM(AG28:AG31)</f>
        <v>7826.4486253684208</v>
      </c>
      <c r="AH32" s="389">
        <f>AG32/AH33</f>
        <v>0.49430597582365327</v>
      </c>
      <c r="AK32" s="337" t="s">
        <v>298</v>
      </c>
      <c r="AL32" s="368">
        <f>SUM(AL28:AL31)</f>
        <v>10429.839572288898</v>
      </c>
      <c r="AM32" s="389">
        <f>AL32/AM33</f>
        <v>0.47069004270136644</v>
      </c>
      <c r="AN32" s="390"/>
      <c r="AP32" s="340" t="s">
        <v>298</v>
      </c>
      <c r="AQ32" s="371">
        <f>SUM(AQ28:AQ31)</f>
        <v>12482.938819246832</v>
      </c>
      <c r="AR32" s="391">
        <f>AQ32/AR33</f>
        <v>0.44466289586948804</v>
      </c>
      <c r="AS32" s="392"/>
      <c r="AT32" s="392"/>
      <c r="AV32" s="340" t="s">
        <v>298</v>
      </c>
      <c r="AW32" s="371">
        <f>SUM(AW28:AW31)</f>
        <v>11449.4589897069</v>
      </c>
      <c r="AX32" s="391">
        <f>AW32/AX33</f>
        <v>0.3552304101988934</v>
      </c>
      <c r="AY32" s="392"/>
      <c r="BA32" s="340" t="s">
        <v>298</v>
      </c>
      <c r="BB32" s="371">
        <f>SUM(BB28:BB31)</f>
        <v>8947.4255127175638</v>
      </c>
      <c r="BC32" s="391">
        <f>BB32/BC33</f>
        <v>0.37066468677227227</v>
      </c>
      <c r="BD32" s="392"/>
      <c r="BJ32" s="390"/>
      <c r="BK32" s="390"/>
      <c r="BL32" s="390"/>
      <c r="BM32" s="393"/>
      <c r="BO32" s="320"/>
      <c r="BP32" s="340" t="s">
        <v>298</v>
      </c>
      <c r="BQ32" s="371">
        <f>SUM(BQ28:BQ31)</f>
        <v>5021.4065401843982</v>
      </c>
      <c r="BR32" s="391">
        <f>BQ32/BR33</f>
        <v>0.41689478987538497</v>
      </c>
      <c r="BS32" s="392"/>
      <c r="BT32" s="320"/>
      <c r="BU32" s="340" t="s">
        <v>298</v>
      </c>
      <c r="BV32" s="371">
        <f>SUM(BV28:BV31)</f>
        <v>3918.3642607805141</v>
      </c>
      <c r="BW32" s="391">
        <f>BV32/BW33</f>
        <v>0.44708456846921735</v>
      </c>
      <c r="BX32" s="392"/>
    </row>
    <row r="33" spans="1:79" x14ac:dyDescent="0.25">
      <c r="C33" s="329"/>
      <c r="D33" s="394">
        <f>C32+C21</f>
        <v>39664.60295943985</v>
      </c>
      <c r="H33" s="329"/>
      <c r="I33" s="394">
        <f>H32+H21</f>
        <v>24157.783201799852</v>
      </c>
      <c r="M33" s="329"/>
      <c r="N33" s="394">
        <f>M32+M21</f>
        <v>26096.889091430399</v>
      </c>
      <c r="S33" s="394">
        <f>R32+R21</f>
        <v>85238.330215388851</v>
      </c>
      <c r="X33" s="394">
        <f>W32+W21</f>
        <v>16156.856169548682</v>
      </c>
      <c r="AC33" s="394">
        <f>AB32+AB21</f>
        <v>18810.471266723223</v>
      </c>
      <c r="AH33" s="394">
        <f>AG32+AG21</f>
        <v>15833.206572765681</v>
      </c>
      <c r="AM33" s="394">
        <f>AL32+AL21</f>
        <v>22158.61527987794</v>
      </c>
      <c r="AN33" s="394"/>
      <c r="AR33" s="395">
        <f>AQ32+AQ21</f>
        <v>28072.81411424683</v>
      </c>
      <c r="AS33" s="395"/>
      <c r="AT33" s="395"/>
      <c r="AX33" s="395">
        <f>AW32+AW21</f>
        <v>32231.0778046743</v>
      </c>
      <c r="AY33" s="395"/>
      <c r="BC33" s="395">
        <f>BB32+BB21</f>
        <v>24138.866830372361</v>
      </c>
      <c r="BD33" s="395"/>
      <c r="BE33" s="390"/>
      <c r="BF33" s="390"/>
      <c r="BG33" s="390"/>
      <c r="BH33" s="390"/>
      <c r="BI33" s="390"/>
      <c r="BJ33" s="394"/>
      <c r="BK33" s="394"/>
      <c r="BL33" s="394"/>
      <c r="BM33" s="396"/>
      <c r="BO33" s="320"/>
      <c r="BP33" s="320"/>
      <c r="BQ33" s="320"/>
      <c r="BR33" s="395">
        <f>BQ32+BQ21</f>
        <v>12044.781230500288</v>
      </c>
      <c r="BS33" s="395"/>
      <c r="BT33" s="320"/>
      <c r="BU33" s="320"/>
      <c r="BV33" s="320"/>
      <c r="BW33" s="395">
        <f>BV32+BV21</f>
        <v>8764.257451776266</v>
      </c>
      <c r="BX33" s="395"/>
    </row>
    <row r="34" spans="1:79" x14ac:dyDescent="0.25">
      <c r="B34" s="397" t="s">
        <v>299</v>
      </c>
      <c r="C34" s="398">
        <v>1900</v>
      </c>
      <c r="G34" s="397" t="s">
        <v>299</v>
      </c>
      <c r="H34" s="398">
        <v>1900</v>
      </c>
      <c r="L34" s="397" t="s">
        <v>299</v>
      </c>
      <c r="M34" s="398">
        <v>1900</v>
      </c>
      <c r="Q34" s="397" t="s">
        <v>299</v>
      </c>
      <c r="R34" s="398">
        <v>1900</v>
      </c>
      <c r="V34" s="397" t="s">
        <v>299</v>
      </c>
      <c r="W34" s="398">
        <v>1900</v>
      </c>
      <c r="AA34" s="397" t="s">
        <v>299</v>
      </c>
      <c r="AB34" s="398">
        <v>1900</v>
      </c>
      <c r="AF34" s="397" t="s">
        <v>299</v>
      </c>
      <c r="AG34" s="398">
        <v>1900</v>
      </c>
      <c r="AI34" s="323"/>
      <c r="AK34" s="397" t="s">
        <v>299</v>
      </c>
      <c r="AL34" s="398">
        <v>1900</v>
      </c>
      <c r="AP34" s="399" t="s">
        <v>299</v>
      </c>
      <c r="AQ34" s="400">
        <v>1900</v>
      </c>
      <c r="AV34" s="399" t="s">
        <v>299</v>
      </c>
      <c r="AW34" s="400">
        <v>1900</v>
      </c>
      <c r="BA34" s="399" t="s">
        <v>299</v>
      </c>
      <c r="BB34" s="400">
        <v>1900</v>
      </c>
      <c r="BE34" s="394"/>
      <c r="BF34" s="394"/>
      <c r="BG34" s="394"/>
      <c r="BH34" s="394"/>
      <c r="BI34" s="394"/>
      <c r="BO34" s="320"/>
      <c r="BP34" s="399" t="s">
        <v>299</v>
      </c>
      <c r="BQ34" s="400">
        <v>1900</v>
      </c>
      <c r="BR34" s="320"/>
      <c r="BS34" s="320"/>
      <c r="BT34" s="320"/>
      <c r="BU34" s="399" t="s">
        <v>299</v>
      </c>
      <c r="BV34" s="400">
        <v>1900</v>
      </c>
      <c r="BW34" s="320"/>
      <c r="BX34" s="320"/>
    </row>
    <row r="35" spans="1:79" x14ac:dyDescent="0.25">
      <c r="A35" s="401" t="s">
        <v>300</v>
      </c>
      <c r="B35" s="402" t="s">
        <v>301</v>
      </c>
      <c r="C35" s="403">
        <f>C16+C32+C34</f>
        <v>102397.49766443984</v>
      </c>
      <c r="D35" s="323"/>
      <c r="F35" s="401" t="s">
        <v>300</v>
      </c>
      <c r="G35" s="402" t="s">
        <v>301</v>
      </c>
      <c r="H35" s="403">
        <f>H16+H32+H34</f>
        <v>63444.214021525884</v>
      </c>
      <c r="K35" s="401" t="s">
        <v>300</v>
      </c>
      <c r="L35" s="402" t="s">
        <v>301</v>
      </c>
      <c r="M35" s="403">
        <f>M16+M32+M34</f>
        <v>67681.356626224922</v>
      </c>
      <c r="P35" s="401" t="s">
        <v>300</v>
      </c>
      <c r="Q35" s="402" t="s">
        <v>301</v>
      </c>
      <c r="R35" s="403">
        <f>R16+R32+R34</f>
        <v>220281.08492038882</v>
      </c>
      <c r="U35" s="401" t="s">
        <v>300</v>
      </c>
      <c r="V35" s="402" t="s">
        <v>301</v>
      </c>
      <c r="W35" s="403">
        <f>W16+W32+W34</f>
        <v>44641.686863192517</v>
      </c>
      <c r="Z35" s="401" t="s">
        <v>300</v>
      </c>
      <c r="AA35" s="402" t="s">
        <v>301</v>
      </c>
      <c r="AB35" s="403">
        <f>AB16+AB32+AB34</f>
        <v>50550.472431028917</v>
      </c>
      <c r="AE35" s="401" t="s">
        <v>300</v>
      </c>
      <c r="AF35" s="402" t="s">
        <v>301</v>
      </c>
      <c r="AG35" s="403">
        <f>AG16+AG32+AG34</f>
        <v>43921.028625368417</v>
      </c>
      <c r="AI35" s="323"/>
      <c r="AJ35" s="401" t="s">
        <v>300</v>
      </c>
      <c r="AK35" s="402" t="s">
        <v>301</v>
      </c>
      <c r="AL35" s="403">
        <f>AL16+AL32+AL34</f>
        <v>58082.749263348742</v>
      </c>
      <c r="AO35" s="404" t="s">
        <v>300</v>
      </c>
      <c r="AP35" s="405" t="s">
        <v>301</v>
      </c>
      <c r="AQ35" s="406">
        <f>AQ16+AQ32+AQ34</f>
        <v>71949.811290389567</v>
      </c>
      <c r="AU35" s="404" t="s">
        <v>300</v>
      </c>
      <c r="AV35" s="405" t="s">
        <v>301</v>
      </c>
      <c r="AW35" s="406">
        <f>AW16+AW32+AW34</f>
        <v>87200.042348917661</v>
      </c>
      <c r="AZ35" s="404" t="s">
        <v>300</v>
      </c>
      <c r="BA35" s="405" t="s">
        <v>301</v>
      </c>
      <c r="BB35" s="406">
        <f>BB16+BB32+BB34</f>
        <v>68417.325352391606</v>
      </c>
      <c r="BO35" s="404" t="s">
        <v>300</v>
      </c>
      <c r="BP35" s="405" t="s">
        <v>301</v>
      </c>
      <c r="BQ35" s="406">
        <f>BQ16+BQ32+BQ34</f>
        <v>38944.776738527973</v>
      </c>
      <c r="BR35" s="320"/>
      <c r="BS35" s="320"/>
      <c r="BT35" s="404" t="s">
        <v>300</v>
      </c>
      <c r="BU35" s="405" t="s">
        <v>301</v>
      </c>
      <c r="BV35" s="406">
        <f>BV16+BV32+BV34</f>
        <v>30664.259647215484</v>
      </c>
      <c r="BW35" s="320"/>
      <c r="BX35" s="320"/>
      <c r="BZ35" s="492" t="s">
        <v>302</v>
      </c>
      <c r="CA35" s="493"/>
    </row>
    <row r="36" spans="1:79" x14ac:dyDescent="0.25">
      <c r="S36" s="325"/>
      <c r="X36" s="325"/>
      <c r="AC36" s="325"/>
      <c r="AH36" s="325"/>
      <c r="AI36" s="323"/>
      <c r="AM36" s="325"/>
      <c r="AN36" s="325"/>
      <c r="AR36" s="328"/>
      <c r="AS36" s="328"/>
      <c r="AT36" s="328"/>
      <c r="AX36" s="328"/>
      <c r="AY36" s="328"/>
      <c r="BC36" s="328"/>
      <c r="BD36" s="328"/>
      <c r="BJ36" s="325"/>
      <c r="BK36" s="325"/>
      <c r="BL36" s="325"/>
      <c r="BM36" s="407"/>
      <c r="BO36" s="320"/>
      <c r="BP36" s="320"/>
      <c r="BQ36" s="320"/>
      <c r="BR36" s="328"/>
      <c r="BS36" s="328"/>
      <c r="BT36" s="320"/>
      <c r="BU36" s="320"/>
      <c r="BV36" s="320"/>
      <c r="BW36" s="328"/>
      <c r="BX36" s="328"/>
      <c r="BZ36" s="408"/>
      <c r="CA36" s="409"/>
    </row>
    <row r="37" spans="1:79" x14ac:dyDescent="0.25">
      <c r="B37" s="306" t="s">
        <v>303</v>
      </c>
      <c r="C37" s="323">
        <f>14696.6496852894+12000</f>
        <v>26696.649685289398</v>
      </c>
      <c r="D37" s="323"/>
      <c r="G37" s="306" t="s">
        <v>303</v>
      </c>
      <c r="H37" s="323">
        <f>6423.97146896041+12000</f>
        <v>18423.971468960408</v>
      </c>
      <c r="I37" s="323"/>
      <c r="L37" s="306" t="s">
        <v>303</v>
      </c>
      <c r="M37" s="323">
        <f>25771.3298876093+12000</f>
        <v>37771.329887609303</v>
      </c>
      <c r="N37" s="323"/>
      <c r="Q37" s="306" t="s">
        <v>303</v>
      </c>
      <c r="R37" s="323">
        <f>29842.420288773+12000</f>
        <v>41842.420288772999</v>
      </c>
      <c r="S37" s="323"/>
      <c r="V37" s="306" t="s">
        <v>303</v>
      </c>
      <c r="W37" s="323">
        <f>6423.97146896041+12000</f>
        <v>18423.971468960408</v>
      </c>
      <c r="X37" s="323"/>
      <c r="AA37" s="306" t="s">
        <v>303</v>
      </c>
      <c r="AB37" s="323">
        <f>6423.97146896041+12000</f>
        <v>18423.971468960408</v>
      </c>
      <c r="AC37" s="323"/>
      <c r="AF37" s="306" t="s">
        <v>303</v>
      </c>
      <c r="AG37" s="323">
        <f>12000+39000</f>
        <v>51000</v>
      </c>
      <c r="AH37" s="323"/>
      <c r="AI37" s="323"/>
      <c r="AK37" s="306" t="s">
        <v>303</v>
      </c>
      <c r="AL37" s="323">
        <f>12000+39000</f>
        <v>51000</v>
      </c>
      <c r="AM37" s="323"/>
      <c r="AN37" s="323"/>
      <c r="AP37" s="320" t="s">
        <v>303</v>
      </c>
      <c r="AQ37" s="334">
        <f>12000+39000</f>
        <v>51000</v>
      </c>
      <c r="AR37" s="334">
        <f>+AQ37+AL37+AG37+AB37+W37+R37+M37+H37+C37</f>
        <v>314582.31426855293</v>
      </c>
      <c r="AS37" s="334"/>
      <c r="AT37" s="334"/>
      <c r="AV37" s="320" t="s">
        <v>303</v>
      </c>
      <c r="AW37" s="334">
        <v>41842.42</v>
      </c>
      <c r="AX37" s="410" t="s">
        <v>381</v>
      </c>
      <c r="AY37" s="334"/>
      <c r="BA37" s="320" t="s">
        <v>303</v>
      </c>
      <c r="BB37" s="334">
        <v>41842.42</v>
      </c>
      <c r="BC37" s="410" t="s">
        <v>381</v>
      </c>
      <c r="BD37" s="334"/>
      <c r="BE37" s="325"/>
      <c r="BF37" s="325"/>
      <c r="BG37" s="325"/>
      <c r="BH37" s="325"/>
      <c r="BI37" s="325"/>
      <c r="BJ37" s="323"/>
      <c r="BK37" s="323"/>
      <c r="BL37" s="323"/>
      <c r="BM37" s="343"/>
      <c r="BO37" s="320"/>
      <c r="BP37" s="320" t="s">
        <v>303</v>
      </c>
      <c r="BQ37" s="334">
        <v>41842.42</v>
      </c>
      <c r="BR37" s="410" t="s">
        <v>381</v>
      </c>
      <c r="BS37" s="334"/>
      <c r="BT37" s="320"/>
      <c r="BU37" s="320" t="s">
        <v>303</v>
      </c>
      <c r="BV37" s="334">
        <v>41842.42</v>
      </c>
      <c r="BW37" s="410" t="s">
        <v>381</v>
      </c>
      <c r="BX37" s="334"/>
      <c r="BZ37" s="408" t="s">
        <v>305</v>
      </c>
      <c r="CA37" s="411">
        <f>+AQ37+AL37+AG37+AB37+W37+R37+M37+H37+C37+51000+51000</f>
        <v>416582.31426855293</v>
      </c>
    </row>
    <row r="38" spans="1:79" x14ac:dyDescent="0.25">
      <c r="B38" s="306" t="s">
        <v>306</v>
      </c>
      <c r="C38" s="323">
        <f>+C37/12</f>
        <v>2224.7208071074497</v>
      </c>
      <c r="G38" s="306" t="s">
        <v>306</v>
      </c>
      <c r="H38" s="323">
        <f>+H37/12</f>
        <v>1535.3309557467007</v>
      </c>
      <c r="L38" s="306" t="s">
        <v>306</v>
      </c>
      <c r="M38" s="323">
        <f>+M37/12</f>
        <v>3147.6108239674418</v>
      </c>
      <c r="Q38" s="306" t="s">
        <v>306</v>
      </c>
      <c r="R38" s="323">
        <f>+R37/12</f>
        <v>3486.8683573977501</v>
      </c>
      <c r="S38" s="323"/>
      <c r="V38" s="306" t="s">
        <v>306</v>
      </c>
      <c r="W38" s="323">
        <f>+W37/12</f>
        <v>1535.3309557467007</v>
      </c>
      <c r="X38" s="323"/>
      <c r="AA38" s="306" t="s">
        <v>306</v>
      </c>
      <c r="AB38" s="323">
        <f>+AB37/12</f>
        <v>1535.3309557467007</v>
      </c>
      <c r="AC38" s="323"/>
      <c r="AF38" s="306" t="s">
        <v>306</v>
      </c>
      <c r="AG38" s="323">
        <f>+AG37/12</f>
        <v>4250</v>
      </c>
      <c r="AH38" s="323"/>
      <c r="AK38" s="306" t="s">
        <v>306</v>
      </c>
      <c r="AL38" s="323">
        <f>+AL37/12</f>
        <v>4250</v>
      </c>
      <c r="AM38" s="323"/>
      <c r="AN38" s="323"/>
      <c r="AP38" s="320" t="s">
        <v>306</v>
      </c>
      <c r="AQ38" s="334">
        <f>+AQ37/12</f>
        <v>4250</v>
      </c>
      <c r="AR38" s="334">
        <v>9</v>
      </c>
      <c r="AS38" s="334"/>
      <c r="AT38" s="334"/>
      <c r="AV38" s="320" t="s">
        <v>306</v>
      </c>
      <c r="AW38" s="334">
        <f>+AW37/12</f>
        <v>3486.8683333333333</v>
      </c>
      <c r="AX38" s="334"/>
      <c r="AY38" s="334"/>
      <c r="BA38" s="320" t="s">
        <v>306</v>
      </c>
      <c r="BB38" s="334">
        <f>+BB37/12</f>
        <v>3486.8683333333333</v>
      </c>
      <c r="BC38" s="334"/>
      <c r="BD38" s="334"/>
      <c r="BE38" s="323"/>
      <c r="BF38" s="323"/>
      <c r="BG38" s="323"/>
      <c r="BH38" s="323"/>
      <c r="BI38" s="323"/>
      <c r="BJ38" s="323"/>
      <c r="BK38" s="323"/>
      <c r="BL38" s="323"/>
      <c r="BM38" s="343"/>
      <c r="BO38" s="320"/>
      <c r="BP38" s="320" t="s">
        <v>306</v>
      </c>
      <c r="BQ38" s="334">
        <f>+BQ37/12</f>
        <v>3486.8683333333333</v>
      </c>
      <c r="BR38" s="334"/>
      <c r="BS38" s="334"/>
      <c r="BT38" s="320"/>
      <c r="BU38" s="320" t="s">
        <v>306</v>
      </c>
      <c r="BV38" s="334">
        <f>+BV37/12</f>
        <v>3486.8683333333333</v>
      </c>
      <c r="BW38" s="334"/>
      <c r="BX38" s="334"/>
      <c r="BZ38" s="408" t="s">
        <v>307</v>
      </c>
      <c r="CA38" s="409">
        <v>11</v>
      </c>
    </row>
    <row r="39" spans="1:79" x14ac:dyDescent="0.25">
      <c r="A39" s="401" t="s">
        <v>308</v>
      </c>
      <c r="B39" s="412" t="s">
        <v>309</v>
      </c>
      <c r="C39" s="413">
        <f>+C38/2</f>
        <v>1112.3604035537248</v>
      </c>
      <c r="F39" s="401" t="s">
        <v>308</v>
      </c>
      <c r="G39" s="412" t="s">
        <v>309</v>
      </c>
      <c r="H39" s="413">
        <f>+H38/2</f>
        <v>767.66547787335037</v>
      </c>
      <c r="K39" s="401" t="s">
        <v>308</v>
      </c>
      <c r="L39" s="412" t="s">
        <v>309</v>
      </c>
      <c r="M39" s="413">
        <f>+M38/2</f>
        <v>1573.8054119837209</v>
      </c>
      <c r="P39" s="401" t="s">
        <v>308</v>
      </c>
      <c r="Q39" s="412" t="s">
        <v>309</v>
      </c>
      <c r="R39" s="413">
        <f>+R38/2</f>
        <v>1743.434178698875</v>
      </c>
      <c r="S39" s="323"/>
      <c r="U39" s="401" t="s">
        <v>308</v>
      </c>
      <c r="V39" s="412" t="s">
        <v>309</v>
      </c>
      <c r="W39" s="413">
        <f>+W38/2</f>
        <v>767.66547787335037</v>
      </c>
      <c r="X39" s="323"/>
      <c r="Z39" s="401" t="s">
        <v>308</v>
      </c>
      <c r="AA39" s="412" t="s">
        <v>309</v>
      </c>
      <c r="AB39" s="413">
        <f>+AB38/2</f>
        <v>767.66547787335037</v>
      </c>
      <c r="AC39" s="323"/>
      <c r="AE39" s="401" t="s">
        <v>308</v>
      </c>
      <c r="AF39" s="412" t="s">
        <v>309</v>
      </c>
      <c r="AG39" s="413">
        <f>+AG38/2</f>
        <v>2125</v>
      </c>
      <c r="AH39" s="323"/>
      <c r="AJ39" s="401" t="s">
        <v>308</v>
      </c>
      <c r="AK39" s="412" t="s">
        <v>309</v>
      </c>
      <c r="AL39" s="413">
        <f>+AL38/2</f>
        <v>2125</v>
      </c>
      <c r="AM39" s="323"/>
      <c r="AN39" s="323"/>
      <c r="AO39" s="404" t="s">
        <v>308</v>
      </c>
      <c r="AP39" s="414" t="s">
        <v>309</v>
      </c>
      <c r="AQ39" s="415">
        <f>+AQ38/2</f>
        <v>2125</v>
      </c>
      <c r="AR39" s="334">
        <f>+AR37/9</f>
        <v>34953.590474283657</v>
      </c>
      <c r="AS39" s="334"/>
      <c r="AT39" s="334"/>
      <c r="AU39" s="404" t="s">
        <v>308</v>
      </c>
      <c r="AV39" s="414" t="s">
        <v>309</v>
      </c>
      <c r="AW39" s="415">
        <f>+AW38/2</f>
        <v>1743.4341666666667</v>
      </c>
      <c r="AX39" s="334"/>
      <c r="AY39" s="334"/>
      <c r="AZ39" s="404" t="s">
        <v>308</v>
      </c>
      <c r="BA39" s="414" t="s">
        <v>309</v>
      </c>
      <c r="BB39" s="415">
        <f>+BB38/2</f>
        <v>1743.4341666666667</v>
      </c>
      <c r="BC39" s="334"/>
      <c r="BD39" s="334"/>
      <c r="BE39" s="323"/>
      <c r="BF39" s="323"/>
      <c r="BG39" s="323"/>
      <c r="BH39" s="323"/>
      <c r="BI39" s="323"/>
      <c r="BJ39" s="323"/>
      <c r="BK39" s="323"/>
      <c r="BL39" s="323"/>
      <c r="BM39" s="343"/>
      <c r="BO39" s="404" t="s">
        <v>308</v>
      </c>
      <c r="BP39" s="414" t="s">
        <v>309</v>
      </c>
      <c r="BQ39" s="415">
        <f>+BQ38/2</f>
        <v>1743.4341666666667</v>
      </c>
      <c r="BR39" s="334"/>
      <c r="BS39" s="334"/>
      <c r="BT39" s="404" t="s">
        <v>308</v>
      </c>
      <c r="BU39" s="414" t="s">
        <v>309</v>
      </c>
      <c r="BV39" s="415">
        <f>+BV38/2</f>
        <v>1743.4341666666667</v>
      </c>
      <c r="BW39" s="334"/>
      <c r="BX39" s="334"/>
      <c r="BZ39" s="416" t="s">
        <v>310</v>
      </c>
      <c r="CA39" s="417">
        <f>+CA37/CA38</f>
        <v>37871.119478959357</v>
      </c>
    </row>
    <row r="40" spans="1:79" x14ac:dyDescent="0.25">
      <c r="S40" s="325"/>
      <c r="X40" s="325"/>
      <c r="AC40" s="325"/>
      <c r="AH40" s="325"/>
      <c r="AM40" s="325"/>
      <c r="AN40" s="325"/>
      <c r="AR40" s="328"/>
      <c r="AS40" s="328"/>
      <c r="AT40" s="328"/>
      <c r="AX40" s="328"/>
      <c r="AY40" s="328"/>
      <c r="BC40" s="328"/>
      <c r="BD40" s="328"/>
      <c r="BE40" s="323"/>
      <c r="BF40" s="323"/>
      <c r="BG40" s="323"/>
      <c r="BH40" s="323"/>
      <c r="BI40" s="323"/>
      <c r="BJ40" s="325"/>
      <c r="BK40" s="325"/>
      <c r="BL40" s="325"/>
      <c r="BM40" s="407"/>
      <c r="BO40" s="320"/>
      <c r="BP40" s="320"/>
      <c r="BQ40" s="320"/>
      <c r="BR40" s="328"/>
      <c r="BS40" s="328"/>
      <c r="BT40" s="320"/>
      <c r="BU40" s="320"/>
      <c r="BV40" s="320"/>
      <c r="BW40" s="328"/>
      <c r="BX40" s="328"/>
    </row>
    <row r="41" spans="1:79" x14ac:dyDescent="0.25">
      <c r="B41" s="306" t="s">
        <v>311</v>
      </c>
      <c r="C41" s="323">
        <v>3000</v>
      </c>
      <c r="D41" s="323"/>
      <c r="G41" s="306" t="s">
        <v>311</v>
      </c>
      <c r="H41" s="323">
        <v>3000</v>
      </c>
      <c r="I41" s="323"/>
      <c r="L41" s="306" t="s">
        <v>311</v>
      </c>
      <c r="M41" s="323">
        <v>3000</v>
      </c>
      <c r="N41" s="323"/>
      <c r="Q41" s="306" t="s">
        <v>311</v>
      </c>
      <c r="R41" s="323">
        <v>3000</v>
      </c>
      <c r="S41" s="323"/>
      <c r="V41" s="306" t="s">
        <v>311</v>
      </c>
      <c r="W41" s="323">
        <v>3000</v>
      </c>
      <c r="X41" s="323"/>
      <c r="AA41" s="306" t="s">
        <v>311</v>
      </c>
      <c r="AB41" s="323">
        <v>3000</v>
      </c>
      <c r="AC41" s="323"/>
      <c r="AF41" s="306" t="s">
        <v>311</v>
      </c>
      <c r="AG41" s="323">
        <v>3000</v>
      </c>
      <c r="AH41" s="323"/>
      <c r="AI41" s="323"/>
      <c r="AK41" s="306" t="s">
        <v>311</v>
      </c>
      <c r="AL41" s="323">
        <v>3000</v>
      </c>
      <c r="AM41" s="323"/>
      <c r="AN41" s="323"/>
      <c r="AP41" s="320" t="s">
        <v>311</v>
      </c>
      <c r="AQ41" s="334">
        <v>3000</v>
      </c>
      <c r="AR41" s="334">
        <v>51000</v>
      </c>
      <c r="AS41" s="334"/>
      <c r="AT41" s="334"/>
      <c r="AV41" s="320" t="s">
        <v>311</v>
      </c>
      <c r="AW41" s="334">
        <v>3000</v>
      </c>
      <c r="AX41" s="410" t="s">
        <v>312</v>
      </c>
      <c r="AY41" s="334"/>
      <c r="BA41" s="320" t="s">
        <v>311</v>
      </c>
      <c r="BB41" s="334">
        <v>3000</v>
      </c>
      <c r="BC41" s="410" t="s">
        <v>312</v>
      </c>
      <c r="BD41" s="334"/>
      <c r="BE41" s="325"/>
      <c r="BF41" s="325"/>
      <c r="BG41" s="325"/>
      <c r="BH41" s="325"/>
      <c r="BI41" s="325"/>
      <c r="BJ41" s="323"/>
      <c r="BK41" s="323"/>
      <c r="BL41" s="323"/>
      <c r="BM41" s="343"/>
      <c r="BO41" s="320"/>
      <c r="BP41" s="320" t="s">
        <v>311</v>
      </c>
      <c r="BQ41" s="334">
        <v>3000</v>
      </c>
      <c r="BR41" s="410" t="s">
        <v>312</v>
      </c>
      <c r="BS41" s="334"/>
      <c r="BT41" s="320"/>
      <c r="BU41" s="320" t="s">
        <v>311</v>
      </c>
      <c r="BV41" s="334">
        <v>3000</v>
      </c>
      <c r="BW41" s="410" t="s">
        <v>312</v>
      </c>
      <c r="BX41" s="334"/>
    </row>
    <row r="42" spans="1:79" x14ac:dyDescent="0.25">
      <c r="B42" s="306" t="s">
        <v>313</v>
      </c>
      <c r="C42" s="323">
        <f>+C41/12</f>
        <v>250</v>
      </c>
      <c r="D42" s="336"/>
      <c r="G42" s="306" t="s">
        <v>313</v>
      </c>
      <c r="H42" s="323">
        <f>+H41/12</f>
        <v>250</v>
      </c>
      <c r="L42" s="306" t="s">
        <v>313</v>
      </c>
      <c r="M42" s="323">
        <f>+M41/12</f>
        <v>250</v>
      </c>
      <c r="Q42" s="306" t="s">
        <v>313</v>
      </c>
      <c r="R42" s="323">
        <f>+R41/12</f>
        <v>250</v>
      </c>
      <c r="S42" s="323"/>
      <c r="V42" s="306" t="s">
        <v>313</v>
      </c>
      <c r="W42" s="323">
        <f>+W41/12</f>
        <v>250</v>
      </c>
      <c r="X42" s="323"/>
      <c r="AA42" s="306" t="s">
        <v>313</v>
      </c>
      <c r="AB42" s="323">
        <f>+AB41/12</f>
        <v>250</v>
      </c>
      <c r="AC42" s="323"/>
      <c r="AF42" s="306" t="s">
        <v>313</v>
      </c>
      <c r="AG42" s="323">
        <f>+AG41/12</f>
        <v>250</v>
      </c>
      <c r="AH42" s="323"/>
      <c r="AK42" s="306" t="s">
        <v>313</v>
      </c>
      <c r="AL42" s="323">
        <f>+AL41/12</f>
        <v>250</v>
      </c>
      <c r="AM42" s="323"/>
      <c r="AN42" s="323"/>
      <c r="AP42" s="320" t="s">
        <v>313</v>
      </c>
      <c r="AQ42" s="334">
        <f>+AQ41/12</f>
        <v>250</v>
      </c>
      <c r="AR42" s="334">
        <f>+AR41*11</f>
        <v>561000</v>
      </c>
      <c r="AS42" s="334"/>
      <c r="AT42" s="334"/>
      <c r="AV42" s="320" t="s">
        <v>313</v>
      </c>
      <c r="AW42" s="334">
        <f>+AW41/12</f>
        <v>250</v>
      </c>
      <c r="AX42" s="334"/>
      <c r="AY42" s="334"/>
      <c r="BA42" s="320" t="s">
        <v>313</v>
      </c>
      <c r="BB42" s="334">
        <f>+BB41/12</f>
        <v>250</v>
      </c>
      <c r="BC42" s="334"/>
      <c r="BD42" s="334"/>
      <c r="BE42" s="323"/>
      <c r="BF42" s="323"/>
      <c r="BG42" s="323"/>
      <c r="BH42" s="323"/>
      <c r="BI42" s="323"/>
      <c r="BJ42" s="323"/>
      <c r="BK42" s="323"/>
      <c r="BL42" s="323"/>
      <c r="BM42" s="343"/>
      <c r="BO42" s="320"/>
      <c r="BP42" s="320" t="s">
        <v>313</v>
      </c>
      <c r="BQ42" s="334">
        <f>+BQ41/12</f>
        <v>250</v>
      </c>
      <c r="BR42" s="334"/>
      <c r="BS42" s="334"/>
      <c r="BT42" s="320"/>
      <c r="BU42" s="320" t="s">
        <v>313</v>
      </c>
      <c r="BV42" s="334">
        <f>+BV41/12</f>
        <v>250</v>
      </c>
      <c r="BW42" s="334"/>
      <c r="BX42" s="334"/>
      <c r="CA42" s="362"/>
    </row>
    <row r="43" spans="1:79" x14ac:dyDescent="0.25">
      <c r="A43" s="401" t="s">
        <v>314</v>
      </c>
      <c r="B43" s="412" t="s">
        <v>315</v>
      </c>
      <c r="C43" s="413">
        <f>+C42/2</f>
        <v>125</v>
      </c>
      <c r="F43" s="401" t="s">
        <v>314</v>
      </c>
      <c r="G43" s="412" t="s">
        <v>315</v>
      </c>
      <c r="H43" s="413">
        <f>+H42/2</f>
        <v>125</v>
      </c>
      <c r="K43" s="401" t="s">
        <v>314</v>
      </c>
      <c r="L43" s="412" t="s">
        <v>315</v>
      </c>
      <c r="M43" s="413">
        <f>+M42/2</f>
        <v>125</v>
      </c>
      <c r="P43" s="401" t="s">
        <v>314</v>
      </c>
      <c r="Q43" s="412" t="s">
        <v>315</v>
      </c>
      <c r="R43" s="413">
        <f>+R42/2</f>
        <v>125</v>
      </c>
      <c r="S43" s="323"/>
      <c r="U43" s="401" t="s">
        <v>314</v>
      </c>
      <c r="V43" s="412" t="s">
        <v>315</v>
      </c>
      <c r="W43" s="413">
        <f>+W42/2</f>
        <v>125</v>
      </c>
      <c r="X43" s="323"/>
      <c r="Z43" s="401" t="s">
        <v>314</v>
      </c>
      <c r="AA43" s="412" t="s">
        <v>315</v>
      </c>
      <c r="AB43" s="413">
        <f>+AB42/2</f>
        <v>125</v>
      </c>
      <c r="AC43" s="323"/>
      <c r="AE43" s="401" t="s">
        <v>314</v>
      </c>
      <c r="AF43" s="412" t="s">
        <v>315</v>
      </c>
      <c r="AG43" s="413">
        <f>+AG42/2</f>
        <v>125</v>
      </c>
      <c r="AH43" s="323"/>
      <c r="AJ43" s="401" t="s">
        <v>314</v>
      </c>
      <c r="AK43" s="412" t="s">
        <v>315</v>
      </c>
      <c r="AL43" s="413">
        <f>+AL42/2</f>
        <v>125</v>
      </c>
      <c r="AM43" s="323"/>
      <c r="AN43" s="323"/>
      <c r="AO43" s="404" t="s">
        <v>314</v>
      </c>
      <c r="AP43" s="414" t="s">
        <v>315</v>
      </c>
      <c r="AQ43" s="415">
        <f>+AQ42/2</f>
        <v>125</v>
      </c>
      <c r="AR43" s="334"/>
      <c r="AS43" s="334"/>
      <c r="AT43" s="334"/>
      <c r="AU43" s="404" t="s">
        <v>314</v>
      </c>
      <c r="AV43" s="414" t="s">
        <v>315</v>
      </c>
      <c r="AW43" s="415">
        <f>+AW42/2</f>
        <v>125</v>
      </c>
      <c r="AX43" s="334"/>
      <c r="AY43" s="334"/>
      <c r="AZ43" s="404" t="s">
        <v>314</v>
      </c>
      <c r="BA43" s="414" t="s">
        <v>315</v>
      </c>
      <c r="BB43" s="415">
        <f>+BB42/2</f>
        <v>125</v>
      </c>
      <c r="BC43" s="334"/>
      <c r="BD43" s="334"/>
      <c r="BE43" s="323"/>
      <c r="BF43" s="323"/>
      <c r="BG43" s="323"/>
      <c r="BH43" s="323"/>
      <c r="BI43" s="323"/>
      <c r="BJ43" s="323"/>
      <c r="BK43" s="323"/>
      <c r="BL43" s="323"/>
      <c r="BM43" s="343"/>
      <c r="BO43" s="404" t="s">
        <v>314</v>
      </c>
      <c r="BP43" s="414" t="s">
        <v>315</v>
      </c>
      <c r="BQ43" s="415">
        <f>+BQ42/2</f>
        <v>125</v>
      </c>
      <c r="BR43" s="334"/>
      <c r="BS43" s="334"/>
      <c r="BT43" s="404" t="s">
        <v>314</v>
      </c>
      <c r="BU43" s="414" t="s">
        <v>315</v>
      </c>
      <c r="BV43" s="415">
        <f>+BV42/2</f>
        <v>125</v>
      </c>
      <c r="BW43" s="334"/>
      <c r="BX43" s="334"/>
      <c r="BZ43" s="492" t="s">
        <v>316</v>
      </c>
      <c r="CA43" s="493"/>
    </row>
    <row r="44" spans="1:79" x14ac:dyDescent="0.25">
      <c r="C44" s="323"/>
      <c r="H44" s="323"/>
      <c r="M44" s="323"/>
      <c r="R44" s="323"/>
      <c r="W44" s="323"/>
      <c r="AB44" s="323"/>
      <c r="AG44" s="323"/>
      <c r="AL44" s="323"/>
      <c r="AQ44" s="334"/>
      <c r="AW44" s="334"/>
      <c r="BB44" s="334"/>
      <c r="BE44" s="323"/>
      <c r="BF44" s="323"/>
      <c r="BG44" s="323"/>
      <c r="BH44" s="323"/>
      <c r="BI44" s="323"/>
      <c r="BO44" s="320"/>
      <c r="BP44" s="320"/>
      <c r="BQ44" s="334"/>
      <c r="BR44" s="320"/>
      <c r="BS44" s="320"/>
      <c r="BT44" s="320"/>
      <c r="BU44" s="320"/>
      <c r="BV44" s="334"/>
      <c r="BW44" s="320"/>
      <c r="BX44" s="320"/>
      <c r="BZ44" s="408" t="s">
        <v>317</v>
      </c>
      <c r="CA44" s="418">
        <v>17</v>
      </c>
    </row>
    <row r="45" spans="1:79" x14ac:dyDescent="0.25">
      <c r="C45" s="323"/>
      <c r="H45" s="323"/>
      <c r="M45" s="323"/>
      <c r="R45" s="323"/>
      <c r="W45" s="323"/>
      <c r="AB45" s="323"/>
      <c r="AG45" s="323"/>
      <c r="AL45" s="323"/>
      <c r="AQ45" s="334"/>
      <c r="AW45" s="334"/>
      <c r="BB45" s="334"/>
      <c r="BE45" s="323"/>
      <c r="BF45" s="323"/>
      <c r="BG45" s="323"/>
      <c r="BH45" s="323"/>
      <c r="BI45" s="323"/>
      <c r="BO45" s="320"/>
      <c r="BP45" s="320"/>
      <c r="BQ45" s="334"/>
      <c r="BR45" s="320"/>
      <c r="BS45" s="320"/>
      <c r="BT45" s="320"/>
      <c r="BU45" s="320"/>
      <c r="BV45" s="334"/>
      <c r="BW45" s="320"/>
      <c r="BX45" s="320"/>
      <c r="BZ45" s="408"/>
      <c r="CA45" s="418"/>
    </row>
    <row r="46" spans="1:79" x14ac:dyDescent="0.25">
      <c r="C46" s="323"/>
      <c r="H46" s="323"/>
      <c r="M46" s="323"/>
      <c r="R46" s="323"/>
      <c r="W46" s="323"/>
      <c r="AB46" s="323"/>
      <c r="AG46" s="323"/>
      <c r="AL46" s="323"/>
      <c r="AQ46" s="334"/>
      <c r="AU46" s="404" t="s">
        <v>318</v>
      </c>
      <c r="AV46" s="320" t="s">
        <v>319</v>
      </c>
      <c r="AW46" s="334">
        <f>+AW39+AW35+AW43</f>
        <v>89068.476515584334</v>
      </c>
      <c r="AZ46" s="404" t="s">
        <v>318</v>
      </c>
      <c r="BA46" s="320" t="s">
        <v>319</v>
      </c>
      <c r="BB46" s="334">
        <f>+BB39+BB35+BB43</f>
        <v>70285.75951905828</v>
      </c>
      <c r="BE46" s="323"/>
      <c r="BF46" s="323"/>
      <c r="BG46" s="323"/>
      <c r="BH46" s="323"/>
      <c r="BI46" s="323"/>
      <c r="BO46" s="404" t="s">
        <v>318</v>
      </c>
      <c r="BP46" s="320" t="s">
        <v>319</v>
      </c>
      <c r="BQ46" s="334">
        <f>+BQ39+BQ35+BQ43</f>
        <v>40813.210905194639</v>
      </c>
      <c r="BR46" s="320"/>
      <c r="BS46" s="320"/>
      <c r="BT46" s="404" t="s">
        <v>318</v>
      </c>
      <c r="BU46" s="320" t="s">
        <v>319</v>
      </c>
      <c r="BV46" s="334">
        <f>+BV39+BV35+BV43</f>
        <v>32532.69381388215</v>
      </c>
      <c r="BW46" s="320"/>
      <c r="BX46" s="320"/>
      <c r="BZ46" s="408"/>
      <c r="CA46" s="418"/>
    </row>
    <row r="47" spans="1:79" x14ac:dyDescent="0.25">
      <c r="C47" s="323"/>
      <c r="H47" s="323"/>
      <c r="M47" s="323"/>
      <c r="R47" s="323"/>
      <c r="W47" s="323"/>
      <c r="AB47" s="323"/>
      <c r="AG47" s="323"/>
      <c r="AL47" s="323"/>
      <c r="AQ47" s="334"/>
      <c r="AV47" s="320" t="s">
        <v>321</v>
      </c>
      <c r="AW47" s="334">
        <f>+AW46*AX47</f>
        <v>9797.5324167142771</v>
      </c>
      <c r="AX47" s="438">
        <v>0.11</v>
      </c>
      <c r="BA47" s="320" t="s">
        <v>321</v>
      </c>
      <c r="BB47" s="334">
        <f>+BB46*BC47</f>
        <v>7731.4335470964106</v>
      </c>
      <c r="BC47" s="438">
        <v>0.11</v>
      </c>
      <c r="BE47" s="323"/>
      <c r="BF47" s="323"/>
      <c r="BG47" s="323"/>
      <c r="BH47" s="323"/>
      <c r="BI47" s="323"/>
      <c r="BO47" s="320"/>
      <c r="BP47" s="320" t="s">
        <v>321</v>
      </c>
      <c r="BQ47" s="334">
        <f>+BQ46*BR47</f>
        <v>4489.4531995714106</v>
      </c>
      <c r="BR47" s="438">
        <v>0.11</v>
      </c>
      <c r="BS47" s="320"/>
      <c r="BT47" s="320"/>
      <c r="BU47" s="320" t="s">
        <v>321</v>
      </c>
      <c r="BV47" s="334">
        <f>+BV46*BW47</f>
        <v>3578.5963195270365</v>
      </c>
      <c r="BW47" s="438">
        <v>0.11</v>
      </c>
      <c r="BX47" s="320"/>
      <c r="BZ47" s="408"/>
      <c r="CA47" s="418"/>
    </row>
    <row r="48" spans="1:79" x14ac:dyDescent="0.25">
      <c r="C48" s="323"/>
      <c r="H48" s="323"/>
      <c r="M48" s="323"/>
      <c r="R48" s="323"/>
      <c r="W48" s="323"/>
      <c r="AB48" s="323"/>
      <c r="AG48" s="323"/>
      <c r="AL48" s="323"/>
      <c r="AQ48" s="334"/>
      <c r="AV48" s="427" t="s">
        <v>323</v>
      </c>
      <c r="AW48" s="428">
        <f>AW46+AW47</f>
        <v>98866.008932298617</v>
      </c>
      <c r="BA48" s="427" t="s">
        <v>323</v>
      </c>
      <c r="BB48" s="428">
        <f>BB46+BB47</f>
        <v>78017.193066154694</v>
      </c>
      <c r="BE48" s="323"/>
      <c r="BF48" s="323"/>
      <c r="BG48" s="323"/>
      <c r="BH48" s="323"/>
      <c r="BI48" s="323"/>
      <c r="BO48" s="320"/>
      <c r="BP48" s="427" t="s">
        <v>323</v>
      </c>
      <c r="BQ48" s="428">
        <f>BQ46+BQ47</f>
        <v>45302.664104766052</v>
      </c>
      <c r="BR48" s="320"/>
      <c r="BS48" s="320"/>
      <c r="BT48" s="320"/>
      <c r="BU48" s="427" t="s">
        <v>323</v>
      </c>
      <c r="BV48" s="428">
        <f>BV46+BV47</f>
        <v>36111.290133409188</v>
      </c>
      <c r="BW48" s="320"/>
      <c r="BX48" s="320"/>
      <c r="BZ48" s="408"/>
      <c r="CA48" s="418"/>
    </row>
    <row r="49" spans="1:91" x14ac:dyDescent="0.25">
      <c r="C49" s="323"/>
      <c r="H49" s="323"/>
      <c r="M49" s="323"/>
      <c r="R49" s="323"/>
      <c r="W49" s="323"/>
      <c r="AB49" s="323"/>
      <c r="AG49" s="323"/>
      <c r="AL49" s="323"/>
      <c r="AQ49" s="334"/>
      <c r="BE49" s="323"/>
      <c r="BF49" s="323"/>
      <c r="BG49" s="323"/>
      <c r="BH49" s="323"/>
      <c r="BI49" s="323"/>
      <c r="BZ49" s="408"/>
      <c r="CA49" s="418"/>
    </row>
    <row r="50" spans="1:91" x14ac:dyDescent="0.25">
      <c r="C50" s="323"/>
      <c r="H50" s="323"/>
      <c r="M50" s="323"/>
      <c r="R50" s="323"/>
      <c r="W50" s="323"/>
      <c r="AB50" s="323"/>
      <c r="AG50" s="323"/>
      <c r="AL50" s="323"/>
      <c r="AQ50" s="334"/>
      <c r="BE50" s="323"/>
      <c r="BF50" s="323"/>
      <c r="BG50" s="323"/>
      <c r="BH50" s="323"/>
      <c r="BI50" s="323"/>
      <c r="BZ50" s="408"/>
      <c r="CA50" s="418"/>
    </row>
    <row r="51" spans="1:91" x14ac:dyDescent="0.25">
      <c r="C51" s="323"/>
      <c r="H51" s="323"/>
      <c r="M51" s="323"/>
      <c r="R51" s="323"/>
      <c r="W51" s="323"/>
      <c r="AB51" s="323"/>
      <c r="AG51" s="323"/>
      <c r="AL51" s="323"/>
      <c r="AQ51" s="334"/>
      <c r="AW51" s="432"/>
      <c r="BE51" s="323"/>
      <c r="BF51" s="323"/>
      <c r="BG51" s="323"/>
      <c r="BH51" s="323"/>
      <c r="BI51" s="323"/>
      <c r="BZ51" s="408"/>
      <c r="CA51" s="418"/>
    </row>
    <row r="52" spans="1:91" x14ac:dyDescent="0.25">
      <c r="C52" s="323"/>
      <c r="H52" s="323"/>
      <c r="M52" s="323"/>
      <c r="R52" s="323"/>
      <c r="W52" s="323"/>
      <c r="AB52" s="323"/>
      <c r="AG52" s="323"/>
      <c r="AL52" s="323"/>
      <c r="AQ52" s="334"/>
      <c r="BE52" s="323"/>
      <c r="BF52" s="323"/>
      <c r="BG52" s="323"/>
      <c r="BH52" s="323"/>
      <c r="BI52" s="323"/>
      <c r="BZ52" s="408"/>
      <c r="CA52" s="418"/>
    </row>
    <row r="53" spans="1:91" x14ac:dyDescent="0.25">
      <c r="A53" s="401" t="s">
        <v>318</v>
      </c>
      <c r="B53" s="306" t="s">
        <v>319</v>
      </c>
      <c r="C53" s="323">
        <f>+C39+C35+C43</f>
        <v>103634.85806799357</v>
      </c>
      <c r="D53" s="323"/>
      <c r="F53" s="401" t="s">
        <v>318</v>
      </c>
      <c r="G53" s="306" t="s">
        <v>319</v>
      </c>
      <c r="H53" s="323">
        <f>+H39+H35+H43</f>
        <v>64336.879499399234</v>
      </c>
      <c r="I53" s="323"/>
      <c r="K53" s="401" t="s">
        <v>318</v>
      </c>
      <c r="L53" s="306" t="s">
        <v>319</v>
      </c>
      <c r="M53" s="323">
        <f>+M39+M35+M43</f>
        <v>69380.16203820864</v>
      </c>
      <c r="N53" s="323"/>
      <c r="P53" s="401" t="s">
        <v>318</v>
      </c>
      <c r="Q53" s="306" t="s">
        <v>319</v>
      </c>
      <c r="R53" s="323">
        <f>+R39+R35+R43</f>
        <v>222149.51909908769</v>
      </c>
      <c r="U53" s="401" t="s">
        <v>318</v>
      </c>
      <c r="V53" s="306" t="s">
        <v>319</v>
      </c>
      <c r="W53" s="323">
        <f>+W39+W35+W43</f>
        <v>45534.352341065867</v>
      </c>
      <c r="Z53" s="401" t="s">
        <v>318</v>
      </c>
      <c r="AA53" s="306" t="s">
        <v>319</v>
      </c>
      <c r="AB53" s="323">
        <f>+AB39+AB35+AB43</f>
        <v>51443.137908902267</v>
      </c>
      <c r="AE53" s="401" t="s">
        <v>318</v>
      </c>
      <c r="AF53" s="306" t="s">
        <v>319</v>
      </c>
      <c r="AG53" s="323">
        <f>+AG39+AG35+AG43</f>
        <v>46171.028625368417</v>
      </c>
      <c r="AJ53" s="401" t="s">
        <v>318</v>
      </c>
      <c r="AK53" s="306" t="s">
        <v>319</v>
      </c>
      <c r="AL53" s="323">
        <f>+AL39+AL35+AL43</f>
        <v>60332.749263348742</v>
      </c>
      <c r="AO53" s="404" t="s">
        <v>318</v>
      </c>
      <c r="AP53" s="320" t="s">
        <v>319</v>
      </c>
      <c r="AQ53" s="334">
        <f>+AQ39+AQ35+AQ43</f>
        <v>74199.811290389567</v>
      </c>
      <c r="BZ53" s="419" t="s">
        <v>320</v>
      </c>
      <c r="CA53" s="420">
        <v>40000</v>
      </c>
    </row>
    <row r="54" spans="1:91" x14ac:dyDescent="0.25">
      <c r="B54" s="306" t="s">
        <v>321</v>
      </c>
      <c r="C54" s="323">
        <f>C53*D54</f>
        <v>11399.834387479294</v>
      </c>
      <c r="D54" s="421">
        <v>0.11</v>
      </c>
      <c r="G54" s="306" t="s">
        <v>321</v>
      </c>
      <c r="H54" s="323">
        <f>H53*I54</f>
        <v>7077.056744933916</v>
      </c>
      <c r="I54" s="421">
        <f>D54</f>
        <v>0.11</v>
      </c>
      <c r="L54" s="306" t="s">
        <v>321</v>
      </c>
      <c r="M54" s="323">
        <f>M53*N54</f>
        <v>7631.8178242029508</v>
      </c>
      <c r="N54" s="421">
        <f>I54</f>
        <v>0.11</v>
      </c>
      <c r="Q54" s="306" t="s">
        <v>321</v>
      </c>
      <c r="R54" s="323">
        <f>R53*S54</f>
        <v>24436.447100899644</v>
      </c>
      <c r="S54" s="421">
        <v>0.11</v>
      </c>
      <c r="V54" s="306" t="s">
        <v>321</v>
      </c>
      <c r="W54" s="323">
        <f>W53*X54</f>
        <v>5919.4658043385625</v>
      </c>
      <c r="X54" s="421">
        <v>0.13</v>
      </c>
      <c r="AA54" s="306" t="s">
        <v>321</v>
      </c>
      <c r="AB54" s="323">
        <f>AB53*AC54</f>
        <v>6687.6079281572947</v>
      </c>
      <c r="AC54" s="421">
        <v>0.13</v>
      </c>
      <c r="AF54" s="306" t="s">
        <v>321</v>
      </c>
      <c r="AG54" s="323">
        <f>AG53*AH54</f>
        <v>6002.2337212978946</v>
      </c>
      <c r="AH54" s="421">
        <v>0.13</v>
      </c>
      <c r="AK54" s="306" t="s">
        <v>321</v>
      </c>
      <c r="AL54" s="323">
        <f>AL53*AM54</f>
        <v>7843.2574042353363</v>
      </c>
      <c r="AM54" s="421">
        <v>0.13</v>
      </c>
      <c r="AN54" s="422"/>
      <c r="AP54" s="320" t="s">
        <v>321</v>
      </c>
      <c r="AQ54" s="334">
        <f>AQ53*AR54</f>
        <v>9645.9754677506444</v>
      </c>
      <c r="AR54" s="423">
        <v>0.13</v>
      </c>
      <c r="AS54" s="423"/>
      <c r="AT54" s="423"/>
      <c r="AX54" s="423"/>
      <c r="AY54" s="423"/>
      <c r="AZ54" s="423"/>
      <c r="BA54" s="423"/>
      <c r="BB54" s="423"/>
      <c r="BC54" s="423"/>
      <c r="BD54" s="423"/>
      <c r="BJ54" s="421"/>
      <c r="BK54" s="421"/>
      <c r="BL54" s="421"/>
      <c r="BM54" s="424"/>
      <c r="BZ54" s="408" t="s">
        <v>322</v>
      </c>
      <c r="CA54" s="418">
        <f>+CA53*CA44</f>
        <v>680000</v>
      </c>
    </row>
    <row r="55" spans="1:91" x14ac:dyDescent="0.25">
      <c r="B55" s="425" t="s">
        <v>323</v>
      </c>
      <c r="C55" s="426">
        <f>C53+C54</f>
        <v>115034.69245547286</v>
      </c>
      <c r="G55" s="425" t="s">
        <v>323</v>
      </c>
      <c r="H55" s="426">
        <f>H53+H54</f>
        <v>71413.936244333148</v>
      </c>
      <c r="L55" s="425" t="s">
        <v>323</v>
      </c>
      <c r="M55" s="426">
        <f>M53+M54</f>
        <v>77011.979862411594</v>
      </c>
      <c r="Q55" s="425" t="s">
        <v>323</v>
      </c>
      <c r="R55" s="426">
        <f>R53+R54</f>
        <v>246585.96619998734</v>
      </c>
      <c r="V55" s="425" t="s">
        <v>323</v>
      </c>
      <c r="W55" s="426">
        <f>W53+W54</f>
        <v>51453.818145404432</v>
      </c>
      <c r="AA55" s="425" t="s">
        <v>323</v>
      </c>
      <c r="AB55" s="426">
        <f>AB53+AB54</f>
        <v>58130.745837059563</v>
      </c>
      <c r="AF55" s="425" t="s">
        <v>323</v>
      </c>
      <c r="AG55" s="426">
        <f>AG53+AG54</f>
        <v>52173.262346666314</v>
      </c>
      <c r="AK55" s="425" t="s">
        <v>323</v>
      </c>
      <c r="AL55" s="426">
        <f>AL53+AL54</f>
        <v>68176.006667584079</v>
      </c>
      <c r="AP55" s="427" t="s">
        <v>323</v>
      </c>
      <c r="AQ55" s="428">
        <f>AQ53+AQ54</f>
        <v>83845.78675814021</v>
      </c>
      <c r="AX55" s="429"/>
      <c r="BE55" s="421"/>
      <c r="BF55" s="421"/>
      <c r="BG55" s="421"/>
      <c r="BH55" s="421"/>
      <c r="BI55" s="421"/>
      <c r="BZ55" s="430" t="s">
        <v>324</v>
      </c>
      <c r="CA55" s="431">
        <f>+CA54/26</f>
        <v>26153.846153846152</v>
      </c>
    </row>
    <row r="56" spans="1:91" x14ac:dyDescent="0.25">
      <c r="BE56" s="323"/>
      <c r="CA56" s="362"/>
    </row>
    <row r="57" spans="1:91" x14ac:dyDescent="0.25">
      <c r="BE57" s="323"/>
      <c r="CA57" s="362"/>
    </row>
    <row r="58" spans="1:91" x14ac:dyDescent="0.25">
      <c r="W58" s="306" t="s">
        <v>325</v>
      </c>
      <c r="AB58" s="306" t="s">
        <v>325</v>
      </c>
      <c r="AG58" s="306" t="s">
        <v>325</v>
      </c>
    </row>
    <row r="59" spans="1:91" x14ac:dyDescent="0.25">
      <c r="W59" s="306" t="s">
        <v>321</v>
      </c>
      <c r="AB59" s="306" t="s">
        <v>321</v>
      </c>
      <c r="AG59" s="306" t="s">
        <v>321</v>
      </c>
    </row>
    <row r="60" spans="1:91" x14ac:dyDescent="0.25">
      <c r="W60" s="306" t="s">
        <v>326</v>
      </c>
      <c r="AB60" s="306" t="s">
        <v>326</v>
      </c>
      <c r="AG60" s="306" t="s">
        <v>326</v>
      </c>
    </row>
    <row r="63" spans="1:91" x14ac:dyDescent="0.25">
      <c r="CM63" s="306" t="s">
        <v>135</v>
      </c>
    </row>
    <row r="67" spans="1:19" x14ac:dyDescent="0.25">
      <c r="B67" s="433"/>
      <c r="C67" s="434">
        <f>C55/D67</f>
        <v>6320.5874975534543</v>
      </c>
      <c r="D67" s="312">
        <v>18.2</v>
      </c>
      <c r="G67" s="433"/>
      <c r="H67" s="434">
        <f>H55/I67</f>
        <v>3923.8426507875356</v>
      </c>
      <c r="I67" s="312">
        <f>D67</f>
        <v>18.2</v>
      </c>
      <c r="L67" s="433"/>
      <c r="M67" s="434">
        <f>M55/N67</f>
        <v>4231.4274649676699</v>
      </c>
      <c r="N67" s="312">
        <f>I67</f>
        <v>18.2</v>
      </c>
      <c r="Q67" s="433"/>
      <c r="R67" s="434">
        <f>R55/S67</f>
        <v>13548.679461537766</v>
      </c>
      <c r="S67" s="312">
        <f>N67</f>
        <v>18.2</v>
      </c>
    </row>
    <row r="68" spans="1:19" x14ac:dyDescent="0.25">
      <c r="A68" s="435"/>
      <c r="B68" s="494"/>
      <c r="C68" s="495"/>
      <c r="D68" s="495"/>
      <c r="E68" s="435"/>
      <c r="F68" s="435"/>
      <c r="G68" s="494"/>
      <c r="H68" s="495"/>
      <c r="I68" s="495"/>
      <c r="J68" s="435"/>
      <c r="K68" s="435"/>
      <c r="L68" s="494"/>
      <c r="M68" s="495"/>
      <c r="N68" s="495"/>
      <c r="O68" s="435"/>
      <c r="P68" s="435"/>
      <c r="Q68" s="494"/>
      <c r="R68" s="495"/>
      <c r="S68" s="495"/>
    </row>
    <row r="69" spans="1:19" x14ac:dyDescent="0.25">
      <c r="A69" s="436" t="s">
        <v>327</v>
      </c>
      <c r="Q69" s="325"/>
      <c r="R69" s="434"/>
      <c r="S69" s="325"/>
    </row>
    <row r="70" spans="1:19" x14ac:dyDescent="0.25">
      <c r="A70" s="436"/>
      <c r="Q70" s="325"/>
      <c r="R70" s="434"/>
      <c r="S70" s="325"/>
    </row>
    <row r="71" spans="1:19" x14ac:dyDescent="0.25">
      <c r="A71" s="436"/>
      <c r="Q71" s="325"/>
      <c r="R71" s="434"/>
      <c r="S71" s="325"/>
    </row>
    <row r="72" spans="1:19" x14ac:dyDescent="0.25">
      <c r="A72" s="436"/>
      <c r="Q72" s="325"/>
      <c r="R72" s="434"/>
      <c r="S72" s="325"/>
    </row>
    <row r="73" spans="1:19" x14ac:dyDescent="0.25">
      <c r="A73" s="436"/>
      <c r="Q73" s="325"/>
      <c r="R73" s="434"/>
      <c r="S73" s="325"/>
    </row>
    <row r="74" spans="1:19" x14ac:dyDescent="0.25">
      <c r="A74" s="436"/>
      <c r="Q74" s="325"/>
      <c r="R74" s="434"/>
      <c r="S74" s="325"/>
    </row>
    <row r="75" spans="1:19" x14ac:dyDescent="0.25">
      <c r="A75" s="436"/>
      <c r="Q75" s="325"/>
      <c r="R75" s="434"/>
      <c r="S75" s="325"/>
    </row>
    <row r="76" spans="1:19" x14ac:dyDescent="0.25">
      <c r="A76" s="436"/>
      <c r="Q76" s="325"/>
      <c r="R76" s="434"/>
      <c r="S76" s="325"/>
    </row>
    <row r="77" spans="1:19" x14ac:dyDescent="0.25">
      <c r="A77" s="436"/>
      <c r="Q77" s="325"/>
      <c r="R77" s="434"/>
      <c r="S77" s="325"/>
    </row>
    <row r="78" spans="1:19" x14ac:dyDescent="0.25">
      <c r="A78" s="436"/>
      <c r="Q78" s="325"/>
      <c r="R78" s="434"/>
      <c r="S78" s="325"/>
    </row>
    <row r="79" spans="1:19" x14ac:dyDescent="0.25">
      <c r="B79" s="306" t="s">
        <v>328</v>
      </c>
      <c r="G79" s="306" t="s">
        <v>329</v>
      </c>
      <c r="L79" s="306" t="s">
        <v>330</v>
      </c>
      <c r="Q79" s="306" t="s">
        <v>331</v>
      </c>
    </row>
    <row r="80" spans="1:19" x14ac:dyDescent="0.25">
      <c r="B80" s="306" t="s">
        <v>332</v>
      </c>
      <c r="C80" s="323">
        <f>C16+C34</f>
        <v>87792.7</v>
      </c>
      <c r="G80" s="306" t="s">
        <v>325</v>
      </c>
      <c r="H80" s="323">
        <f>H16+H34</f>
        <v>52539.240000000005</v>
      </c>
      <c r="L80" s="306" t="s">
        <v>325</v>
      </c>
      <c r="M80" s="323">
        <f>M16+M34</f>
        <v>56025.41</v>
      </c>
      <c r="Q80" s="306" t="s">
        <v>325</v>
      </c>
      <c r="R80" s="323">
        <f>R16+R34</f>
        <v>197353.07999999996</v>
      </c>
    </row>
    <row r="81" spans="2:19" x14ac:dyDescent="0.25">
      <c r="B81" s="306" t="s">
        <v>333</v>
      </c>
      <c r="C81" s="323">
        <f>C32+C39+C43</f>
        <v>15842.158067993574</v>
      </c>
      <c r="G81" s="306" t="s">
        <v>333</v>
      </c>
      <c r="H81" s="323">
        <f>H32+H39+H43</f>
        <v>11797.639499399227</v>
      </c>
      <c r="L81" s="306" t="s">
        <v>333</v>
      </c>
      <c r="M81" s="323">
        <f>M32+M39+M43</f>
        <v>13354.752038208639</v>
      </c>
      <c r="Q81" s="306" t="s">
        <v>333</v>
      </c>
      <c r="R81" s="323">
        <f>R32+R39+R43</f>
        <v>24796.439099087725</v>
      </c>
    </row>
    <row r="82" spans="2:19" x14ac:dyDescent="0.25">
      <c r="B82" s="306" t="s">
        <v>321</v>
      </c>
      <c r="C82" s="323">
        <f>C54</f>
        <v>11399.834387479294</v>
      </c>
      <c r="G82" s="306" t="s">
        <v>321</v>
      </c>
      <c r="H82" s="323">
        <f>H54</f>
        <v>7077.056744933916</v>
      </c>
      <c r="L82" s="306" t="s">
        <v>321</v>
      </c>
      <c r="M82" s="323">
        <f>M54</f>
        <v>7631.8178242029508</v>
      </c>
      <c r="Q82" s="306" t="s">
        <v>321</v>
      </c>
      <c r="R82" s="323">
        <f>R54</f>
        <v>24436.447100899644</v>
      </c>
    </row>
    <row r="83" spans="2:19" x14ac:dyDescent="0.25">
      <c r="B83" s="306" t="s">
        <v>326</v>
      </c>
      <c r="C83" s="323">
        <f>SUM(C80:C82)</f>
        <v>115034.69245547286</v>
      </c>
      <c r="G83" s="306" t="s">
        <v>326</v>
      </c>
      <c r="H83" s="323">
        <f>SUM(H80:H82)</f>
        <v>71413.936244333148</v>
      </c>
      <c r="L83" s="306" t="s">
        <v>326</v>
      </c>
      <c r="M83" s="323">
        <f>SUM(M80:M82)</f>
        <v>77011.979862411594</v>
      </c>
      <c r="Q83" s="306" t="s">
        <v>326</v>
      </c>
      <c r="R83" s="323">
        <f>SUM(R80:R82)</f>
        <v>246585.96619998734</v>
      </c>
    </row>
    <row r="84" spans="2:19" x14ac:dyDescent="0.25">
      <c r="C84" s="323">
        <f>C55-C83</f>
        <v>0</v>
      </c>
      <c r="H84" s="323">
        <f>H55-H83</f>
        <v>0</v>
      </c>
      <c r="M84" s="323">
        <f>M55-M83</f>
        <v>0</v>
      </c>
      <c r="R84" s="323">
        <f>R55-R83</f>
        <v>0</v>
      </c>
    </row>
    <row r="86" spans="2:19" x14ac:dyDescent="0.25">
      <c r="Q86" s="306" t="s">
        <v>334</v>
      </c>
    </row>
    <row r="87" spans="2:19" x14ac:dyDescent="0.25">
      <c r="Q87" s="306" t="s">
        <v>325</v>
      </c>
      <c r="R87" s="323">
        <f>C80+H80+M80+R80</f>
        <v>393710.42999999993</v>
      </c>
      <c r="S87" s="437">
        <f>R87/$R$90</f>
        <v>0.77191074204067833</v>
      </c>
    </row>
    <row r="88" spans="2:19" x14ac:dyDescent="0.25">
      <c r="Q88" s="306" t="s">
        <v>333</v>
      </c>
      <c r="R88" s="323">
        <f>C81+H81+M81+R81</f>
        <v>65790.988704689167</v>
      </c>
      <c r="S88" s="437">
        <f t="shared" ref="S88:S90" si="16">R88/$R$90</f>
        <v>0.1289901588602225</v>
      </c>
    </row>
    <row r="89" spans="2:19" x14ac:dyDescent="0.25">
      <c r="Q89" s="306" t="s">
        <v>321</v>
      </c>
      <c r="R89" s="323">
        <f>C82+H82+M82+R82</f>
        <v>50545.156057515807</v>
      </c>
      <c r="S89" s="437">
        <f t="shared" si="16"/>
        <v>9.90990990990991E-2</v>
      </c>
    </row>
    <row r="90" spans="2:19" x14ac:dyDescent="0.25">
      <c r="Q90" s="306" t="s">
        <v>326</v>
      </c>
      <c r="R90" s="323">
        <f>SUM(R87:R89)</f>
        <v>510046.57476220495</v>
      </c>
      <c r="S90" s="437">
        <f t="shared" si="16"/>
        <v>1</v>
      </c>
    </row>
    <row r="91" spans="2:19" x14ac:dyDescent="0.25">
      <c r="R91" s="394">
        <f>C83+H83+M83+R83</f>
        <v>510046.57476220489</v>
      </c>
    </row>
    <row r="93" spans="2:19" x14ac:dyDescent="0.25">
      <c r="R93" s="323">
        <f>R91/25000</f>
        <v>20.401862990488194</v>
      </c>
    </row>
  </sheetData>
  <mergeCells count="51">
    <mergeCell ref="BO1:BR1"/>
    <mergeCell ref="BT1:BW1"/>
    <mergeCell ref="BO2:BR2"/>
    <mergeCell ref="BT2:BW2"/>
    <mergeCell ref="BO3:BR3"/>
    <mergeCell ref="BT3:BW3"/>
    <mergeCell ref="B68:D68"/>
    <mergeCell ref="G68:I68"/>
    <mergeCell ref="L68:N68"/>
    <mergeCell ref="Q68:S68"/>
    <mergeCell ref="AH6:AH7"/>
    <mergeCell ref="AC6:AC7"/>
    <mergeCell ref="AM6:AM7"/>
    <mergeCell ref="AR6:AR7"/>
    <mergeCell ref="AX6:AX7"/>
    <mergeCell ref="BZ35:CA35"/>
    <mergeCell ref="BZ43:CA43"/>
    <mergeCell ref="BR6:BR7"/>
    <mergeCell ref="BW6:BW7"/>
    <mergeCell ref="A3:D3"/>
    <mergeCell ref="F3:I3"/>
    <mergeCell ref="K3:N3"/>
    <mergeCell ref="P3:S3"/>
    <mergeCell ref="U3:X3"/>
    <mergeCell ref="D6:D7"/>
    <mergeCell ref="I6:I7"/>
    <mergeCell ref="N6:N7"/>
    <mergeCell ref="S6:S7"/>
    <mergeCell ref="X6:X7"/>
    <mergeCell ref="Z1:AC1"/>
    <mergeCell ref="AE3:AH3"/>
    <mergeCell ref="AJ3:AM3"/>
    <mergeCell ref="AO3:AR3"/>
    <mergeCell ref="AU3:AX3"/>
    <mergeCell ref="Z3:AC3"/>
    <mergeCell ref="AZ1:BC1"/>
    <mergeCell ref="AZ2:BC2"/>
    <mergeCell ref="AZ3:BC3"/>
    <mergeCell ref="BC6:BC7"/>
    <mergeCell ref="A1:C1"/>
    <mergeCell ref="F1:I1"/>
    <mergeCell ref="K1:N1"/>
    <mergeCell ref="P1:S1"/>
    <mergeCell ref="U1:X1"/>
    <mergeCell ref="AE1:AH1"/>
    <mergeCell ref="AJ1:AM1"/>
    <mergeCell ref="AO1:AR1"/>
    <mergeCell ref="AU1:AX1"/>
    <mergeCell ref="F2:H2"/>
    <mergeCell ref="AO2:AR2"/>
    <mergeCell ref="AU2:AX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06DF-1173-46AE-93BC-76C8F4CD8AAF}">
  <dimension ref="A1:CK93"/>
  <sheetViews>
    <sheetView showGridLines="0" topLeftCell="AT34" zoomScale="120" zoomScaleNormal="120" workbookViewId="0">
      <selection activeCell="AX56" sqref="AX56"/>
    </sheetView>
  </sheetViews>
  <sheetFormatPr defaultColWidth="10.140625" defaultRowHeight="15.75" x14ac:dyDescent="0.25"/>
  <cols>
    <col min="1" max="1" width="13.5703125" style="306" hidden="1" customWidth="1"/>
    <col min="2" max="2" width="38.140625" style="306" hidden="1" customWidth="1"/>
    <col min="3" max="3" width="18.140625" style="306" hidden="1" customWidth="1"/>
    <col min="4" max="4" width="20.7109375" style="306" hidden="1" customWidth="1"/>
    <col min="5" max="5" width="4.7109375" style="306" hidden="1" customWidth="1"/>
    <col min="6" max="6" width="13.7109375" style="306" hidden="1" customWidth="1"/>
    <col min="7" max="7" width="38.28515625" style="306" hidden="1" customWidth="1"/>
    <col min="8" max="8" width="17" style="306" hidden="1" customWidth="1"/>
    <col min="9" max="9" width="20.5703125" style="306" hidden="1" customWidth="1"/>
    <col min="10" max="10" width="4.5703125" style="306" hidden="1" customWidth="1"/>
    <col min="11" max="11" width="13.5703125" style="306" hidden="1" customWidth="1"/>
    <col min="12" max="12" width="38.42578125" style="306" hidden="1" customWidth="1"/>
    <col min="13" max="13" width="17.140625" style="306" hidden="1" customWidth="1"/>
    <col min="14" max="14" width="20.42578125" style="306" hidden="1" customWidth="1"/>
    <col min="15" max="15" width="5.5703125" style="306" hidden="1" customWidth="1"/>
    <col min="16" max="16" width="13.5703125" style="306" hidden="1" customWidth="1"/>
    <col min="17" max="17" width="38.42578125" style="306" hidden="1" customWidth="1"/>
    <col min="18" max="18" width="17.5703125" style="306" hidden="1" customWidth="1"/>
    <col min="19" max="19" width="20.42578125" style="306" hidden="1" customWidth="1"/>
    <col min="20" max="20" width="4.5703125" style="306" hidden="1" customWidth="1"/>
    <col min="21" max="21" width="13.5703125" style="306" hidden="1" customWidth="1"/>
    <col min="22" max="22" width="38.42578125" style="306" hidden="1" customWidth="1"/>
    <col min="23" max="23" width="18.28515625" style="306" hidden="1" customWidth="1"/>
    <col min="24" max="24" width="20.42578125" style="306" hidden="1" customWidth="1"/>
    <col min="25" max="25" width="4.5703125" style="306" hidden="1" customWidth="1"/>
    <col min="26" max="26" width="13.5703125" style="306" hidden="1" customWidth="1"/>
    <col min="27" max="27" width="38.42578125" style="306" hidden="1" customWidth="1"/>
    <col min="28" max="28" width="18.28515625" style="306" hidden="1" customWidth="1"/>
    <col min="29" max="29" width="20.42578125" style="306" hidden="1" customWidth="1"/>
    <col min="30" max="30" width="4.5703125" style="306" hidden="1" customWidth="1"/>
    <col min="31" max="31" width="13.5703125" style="306" hidden="1" customWidth="1"/>
    <col min="32" max="32" width="38.42578125" style="306" hidden="1" customWidth="1"/>
    <col min="33" max="33" width="18.85546875" style="306" hidden="1" customWidth="1"/>
    <col min="34" max="34" width="20.42578125" style="306" hidden="1" customWidth="1"/>
    <col min="35" max="40" width="18.140625" style="306" hidden="1" customWidth="1"/>
    <col min="41" max="45" width="18.140625" style="320" hidden="1" customWidth="1"/>
    <col min="46" max="47" width="18.140625" style="320" customWidth="1"/>
    <col min="48" max="48" width="38.5703125" style="320" bestFit="1" customWidth="1"/>
    <col min="49" max="49" width="18.140625" style="320" customWidth="1"/>
    <col min="50" max="50" width="21.85546875" style="320" customWidth="1"/>
    <col min="51" max="51" width="18.85546875" style="320" customWidth="1"/>
    <col min="52" max="52" width="36.140625" style="306" hidden="1" customWidth="1"/>
    <col min="53" max="53" width="17" style="306" hidden="1" customWidth="1"/>
    <col min="54" max="54" width="34.140625" style="306" hidden="1" customWidth="1"/>
    <col min="55" max="55" width="20.5703125" style="306" hidden="1" customWidth="1"/>
    <col min="56" max="56" width="15.85546875" style="306" hidden="1" customWidth="1"/>
    <col min="57" max="57" width="19.42578125" style="306" hidden="1" customWidth="1"/>
    <col min="58" max="58" width="17.140625" style="306" hidden="1" customWidth="1"/>
    <col min="59" max="59" width="9.28515625" style="306" hidden="1" customWidth="1"/>
    <col min="60" max="60" width="12.5703125" style="309" hidden="1" customWidth="1"/>
    <col min="61" max="61" width="11.85546875" style="306" hidden="1" customWidth="1"/>
    <col min="62" max="62" width="14.5703125" style="306" hidden="1" customWidth="1"/>
    <col min="63" max="63" width="13.5703125" style="306" hidden="1" customWidth="1"/>
    <col min="64" max="64" width="24" style="306" hidden="1" customWidth="1"/>
    <col min="65" max="65" width="11.42578125" style="306" hidden="1" customWidth="1"/>
    <col min="66" max="66" width="9.85546875" style="306" hidden="1" customWidth="1"/>
    <col min="67" max="67" width="11.28515625" style="306" hidden="1" customWidth="1"/>
    <col min="68" max="68" width="8.140625" style="306" hidden="1" customWidth="1"/>
    <col min="69" max="69" width="10.42578125" style="306" hidden="1" customWidth="1"/>
    <col min="70" max="70" width="19.85546875" style="306" hidden="1" customWidth="1"/>
    <col min="71" max="71" width="11.5703125" style="306" hidden="1" customWidth="1"/>
    <col min="72" max="72" width="13.28515625" style="310" bestFit="1" customWidth="1"/>
    <col min="73" max="73" width="20.5703125" style="306" bestFit="1" customWidth="1"/>
    <col min="74" max="74" width="17" style="306" bestFit="1" customWidth="1"/>
    <col min="75" max="85" width="10.140625" style="306" customWidth="1"/>
    <col min="86" max="87" width="10.140625" style="306"/>
    <col min="88" max="88" width="14.140625" style="306" bestFit="1" customWidth="1"/>
    <col min="89" max="89" width="12.7109375" style="362" bestFit="1" customWidth="1"/>
    <col min="90" max="16384" width="10.140625" style="306"/>
  </cols>
  <sheetData>
    <row r="1" spans="1:73" x14ac:dyDescent="0.25">
      <c r="A1" s="486" t="s">
        <v>251</v>
      </c>
      <c r="B1" s="486"/>
      <c r="C1" s="486"/>
      <c r="D1" s="305"/>
      <c r="F1" s="486" t="s">
        <v>252</v>
      </c>
      <c r="G1" s="486"/>
      <c r="H1" s="486"/>
      <c r="I1" s="486"/>
      <c r="K1" s="486" t="s">
        <v>253</v>
      </c>
      <c r="L1" s="486"/>
      <c r="M1" s="486"/>
      <c r="N1" s="486"/>
      <c r="P1" s="486" t="s">
        <v>254</v>
      </c>
      <c r="Q1" s="486"/>
      <c r="R1" s="486"/>
      <c r="S1" s="486"/>
      <c r="U1" s="486" t="s">
        <v>255</v>
      </c>
      <c r="V1" s="486"/>
      <c r="W1" s="486"/>
      <c r="X1" s="486"/>
      <c r="Z1" s="486" t="s">
        <v>256</v>
      </c>
      <c r="AA1" s="486"/>
      <c r="AB1" s="486"/>
      <c r="AC1" s="486"/>
      <c r="AE1" s="486" t="s">
        <v>257</v>
      </c>
      <c r="AF1" s="486"/>
      <c r="AG1" s="486"/>
      <c r="AH1" s="486"/>
      <c r="AJ1" s="486" t="s">
        <v>258</v>
      </c>
      <c r="AK1" s="486"/>
      <c r="AL1" s="486"/>
      <c r="AM1" s="486"/>
      <c r="AN1" s="305"/>
      <c r="AO1" s="483" t="s">
        <v>259</v>
      </c>
      <c r="AP1" s="483"/>
      <c r="AQ1" s="483"/>
      <c r="AR1" s="483"/>
      <c r="AS1" s="307"/>
      <c r="AT1" s="307"/>
      <c r="AU1" s="483" t="s">
        <v>260</v>
      </c>
      <c r="AV1" s="483"/>
      <c r="AW1" s="483"/>
      <c r="AX1" s="483"/>
      <c r="AY1" s="307"/>
      <c r="BC1" s="306" t="s">
        <v>261</v>
      </c>
      <c r="BD1" s="308">
        <v>45903</v>
      </c>
    </row>
    <row r="2" spans="1:73" x14ac:dyDescent="0.25">
      <c r="A2" s="311"/>
      <c r="F2" s="487"/>
      <c r="G2" s="487"/>
      <c r="H2" s="487"/>
      <c r="AO2" s="483" t="s">
        <v>262</v>
      </c>
      <c r="AP2" s="483" t="s">
        <v>263</v>
      </c>
      <c r="AQ2" s="483"/>
      <c r="AR2" s="483"/>
      <c r="AS2" s="307"/>
      <c r="AT2" s="307"/>
      <c r="AU2" s="483"/>
      <c r="AV2" s="483" t="s">
        <v>263</v>
      </c>
      <c r="AW2" s="483"/>
      <c r="AX2" s="483"/>
      <c r="AY2" s="307"/>
      <c r="BD2" s="312">
        <v>18.749400000000001</v>
      </c>
    </row>
    <row r="3" spans="1:73" ht="60" customHeight="1" x14ac:dyDescent="0.25">
      <c r="A3" s="491" t="s">
        <v>264</v>
      </c>
      <c r="B3" s="491"/>
      <c r="C3" s="491"/>
      <c r="D3" s="491"/>
      <c r="F3" s="491" t="s">
        <v>264</v>
      </c>
      <c r="G3" s="491"/>
      <c r="H3" s="491"/>
      <c r="I3" s="491"/>
      <c r="K3" s="491" t="s">
        <v>264</v>
      </c>
      <c r="L3" s="491"/>
      <c r="M3" s="491"/>
      <c r="N3" s="491"/>
      <c r="P3" s="491" t="s">
        <v>264</v>
      </c>
      <c r="Q3" s="491"/>
      <c r="R3" s="491"/>
      <c r="S3" s="491"/>
      <c r="U3" s="489" t="s">
        <v>264</v>
      </c>
      <c r="V3" s="489"/>
      <c r="W3" s="489"/>
      <c r="X3" s="489"/>
      <c r="Y3" s="313"/>
      <c r="Z3" s="489" t="s">
        <v>264</v>
      </c>
      <c r="AA3" s="489"/>
      <c r="AB3" s="489"/>
      <c r="AC3" s="489"/>
      <c r="AE3" s="488" t="s">
        <v>264</v>
      </c>
      <c r="AF3" s="488"/>
      <c r="AG3" s="488"/>
      <c r="AH3" s="488"/>
      <c r="AJ3" s="488" t="s">
        <v>264</v>
      </c>
      <c r="AK3" s="488"/>
      <c r="AL3" s="488"/>
      <c r="AM3" s="488"/>
      <c r="AN3" s="314"/>
      <c r="AO3" s="484" t="s">
        <v>264</v>
      </c>
      <c r="AP3" s="484"/>
      <c r="AQ3" s="484"/>
      <c r="AR3" s="484"/>
      <c r="AS3" s="315"/>
      <c r="AT3" s="315"/>
      <c r="AU3" s="484" t="s">
        <v>264</v>
      </c>
      <c r="AV3" s="484"/>
      <c r="AW3" s="484"/>
      <c r="AX3" s="484"/>
      <c r="AY3" s="315"/>
      <c r="AZ3" s="316"/>
      <c r="BA3" s="317" t="s">
        <v>265</v>
      </c>
      <c r="BB3" s="317" t="s">
        <v>266</v>
      </c>
      <c r="BC3" s="317" t="s">
        <v>267</v>
      </c>
      <c r="BD3" s="318" t="s">
        <v>268</v>
      </c>
      <c r="BF3" s="319" t="s">
        <v>269</v>
      </c>
    </row>
    <row r="4" spans="1:73" x14ac:dyDescent="0.25">
      <c r="AZ4" s="316" t="str">
        <f>+A1</f>
        <v>CARLOS ALBERTO CANTU BARRON</v>
      </c>
      <c r="BA4" s="321">
        <f>+C53</f>
        <v>103634.85806799357</v>
      </c>
      <c r="BB4" s="321">
        <f>BA4*S54</f>
        <v>11399.834387479294</v>
      </c>
      <c r="BC4" s="321">
        <f>+BB4+BA4</f>
        <v>115034.69245547286</v>
      </c>
      <c r="BD4" s="322">
        <f>BC4/$BD$2</f>
        <v>6135.3799297829719</v>
      </c>
      <c r="BE4" s="323"/>
      <c r="BF4" s="323">
        <f>+C25</f>
        <v>60832.894704999999</v>
      </c>
    </row>
    <row r="5" spans="1:73" x14ac:dyDescent="0.25">
      <c r="A5" s="324" t="s">
        <v>270</v>
      </c>
      <c r="C5" s="306" t="s">
        <v>271</v>
      </c>
      <c r="D5" s="325" t="s">
        <v>272</v>
      </c>
      <c r="F5" s="324" t="s">
        <v>270</v>
      </c>
      <c r="I5" s="325" t="s">
        <v>272</v>
      </c>
      <c r="K5" s="324" t="s">
        <v>270</v>
      </c>
      <c r="N5" s="325" t="s">
        <v>272</v>
      </c>
      <c r="P5" s="324" t="s">
        <v>270</v>
      </c>
      <c r="S5" s="325" t="s">
        <v>272</v>
      </c>
      <c r="U5" s="324" t="s">
        <v>270</v>
      </c>
      <c r="W5" s="326" t="s">
        <v>273</v>
      </c>
      <c r="X5" s="325" t="s">
        <v>272</v>
      </c>
      <c r="Z5" s="324" t="s">
        <v>270</v>
      </c>
      <c r="AB5" s="326" t="s">
        <v>273</v>
      </c>
      <c r="AC5" s="325" t="s">
        <v>272</v>
      </c>
      <c r="AE5" s="324" t="s">
        <v>270</v>
      </c>
      <c r="AH5" s="325" t="s">
        <v>272</v>
      </c>
      <c r="AJ5" s="324" t="s">
        <v>270</v>
      </c>
      <c r="AM5" s="325" t="s">
        <v>272</v>
      </c>
      <c r="AN5" s="325"/>
      <c r="AO5" s="327" t="s">
        <v>270</v>
      </c>
      <c r="AR5" s="328" t="s">
        <v>272</v>
      </c>
      <c r="AS5" s="328"/>
      <c r="AT5" s="328"/>
      <c r="AU5" s="327" t="s">
        <v>270</v>
      </c>
      <c r="AX5" s="328" t="s">
        <v>272</v>
      </c>
      <c r="AY5" s="328"/>
      <c r="AZ5" s="316" t="str">
        <f>+F1</f>
        <v>MASIEL MURRIETA VALDEZ</v>
      </c>
      <c r="BA5" s="321">
        <f>+H53</f>
        <v>64336.879499399234</v>
      </c>
      <c r="BB5" s="321">
        <f>+BA5*S54</f>
        <v>7077.056744933916</v>
      </c>
      <c r="BC5" s="321">
        <f t="shared" ref="BC5:BC6" si="0">+BB5+BA5</f>
        <v>71413.936244333148</v>
      </c>
      <c r="BD5" s="322">
        <f t="shared" ref="BD5:BD11" si="1">BC5/$BD$2</f>
        <v>3808.865150049236</v>
      </c>
      <c r="BE5" s="323"/>
      <c r="BF5" s="323">
        <f>+H25</f>
        <v>37386.430819726032</v>
      </c>
    </row>
    <row r="6" spans="1:73" x14ac:dyDescent="0.25">
      <c r="B6" s="306" t="s">
        <v>274</v>
      </c>
      <c r="C6" s="329">
        <v>51600</v>
      </c>
      <c r="D6" s="490">
        <f>((C6+C7)/2)*4.33</f>
        <v>130333</v>
      </c>
      <c r="G6" s="306" t="s">
        <v>274</v>
      </c>
      <c r="H6" s="329">
        <v>30000</v>
      </c>
      <c r="I6" s="490">
        <f>((H6+H7)/2)*4.33</f>
        <v>75775</v>
      </c>
      <c r="L6" s="306" t="s">
        <v>274</v>
      </c>
      <c r="M6" s="329">
        <v>32136</v>
      </c>
      <c r="N6" s="490">
        <f>((M6+M7)/2)*4.33</f>
        <v>81170.180000000008</v>
      </c>
      <c r="Q6" s="306" t="s">
        <v>274</v>
      </c>
      <c r="R6" s="329">
        <v>105600</v>
      </c>
      <c r="S6" s="490">
        <f>((R6+R7)/2)*4.33</f>
        <v>266728</v>
      </c>
      <c r="V6" s="306" t="s">
        <v>274</v>
      </c>
      <c r="W6" s="329">
        <v>21989.279999999999</v>
      </c>
      <c r="X6" s="490">
        <f>((W6+W7)/2)*4.33</f>
        <v>55541.256399999998</v>
      </c>
      <c r="AA6" s="306" t="s">
        <v>274</v>
      </c>
      <c r="AB6" s="329">
        <v>25181.040000000001</v>
      </c>
      <c r="AC6" s="490">
        <f>((AB6+AB7)/2)*4.33</f>
        <v>63603.110200000003</v>
      </c>
      <c r="AF6" s="306" t="s">
        <v>274</v>
      </c>
      <c r="AG6" s="329">
        <v>21600</v>
      </c>
      <c r="AH6" s="490">
        <f>((AG6+AG7)/2)*4.33</f>
        <v>54558</v>
      </c>
      <c r="AK6" s="306" t="s">
        <v>274</v>
      </c>
      <c r="AL6" s="329">
        <v>29092.080000000002</v>
      </c>
      <c r="AM6" s="490">
        <f>((AL6+AL7)/2)*4.33</f>
        <v>73481.7454</v>
      </c>
      <c r="AN6" s="330"/>
      <c r="AP6" s="320" t="s">
        <v>274</v>
      </c>
      <c r="AQ6" s="331">
        <v>38129.399999999994</v>
      </c>
      <c r="AR6" s="485">
        <f>((AQ6+AQ7)/2)*4.33</f>
        <v>96308.509499999986</v>
      </c>
      <c r="AS6" s="332"/>
      <c r="AT6" s="332"/>
      <c r="AV6" s="320" t="s">
        <v>274</v>
      </c>
      <c r="AW6" s="333">
        <f>+Simulacion!D6</f>
        <v>9029.3508000000002</v>
      </c>
      <c r="AX6" s="485">
        <f>((AW6+AW7)/2)*4.33</f>
        <v>22806.635229</v>
      </c>
      <c r="AY6" s="332"/>
      <c r="AZ6" s="316" t="str">
        <f>+K1</f>
        <v>JESUS ALBERTO SOTO MORA</v>
      </c>
      <c r="BA6" s="321">
        <f>+M53</f>
        <v>69380.16203820864</v>
      </c>
      <c r="BB6" s="321">
        <f>+BA6*S54</f>
        <v>7631.8178242029508</v>
      </c>
      <c r="BC6" s="321">
        <f t="shared" si="0"/>
        <v>77011.979862411594</v>
      </c>
      <c r="BD6" s="322">
        <f t="shared" si="1"/>
        <v>4107.4370306469318</v>
      </c>
      <c r="BE6" s="323"/>
      <c r="BF6" s="323">
        <f>+M25</f>
        <v>39684.467534794523</v>
      </c>
    </row>
    <row r="7" spans="1:73" x14ac:dyDescent="0.25">
      <c r="B7" s="306" t="s">
        <v>275</v>
      </c>
      <c r="C7" s="329">
        <v>8600</v>
      </c>
      <c r="D7" s="490"/>
      <c r="G7" s="306" t="s">
        <v>275</v>
      </c>
      <c r="H7" s="329">
        <v>5000</v>
      </c>
      <c r="I7" s="490"/>
      <c r="L7" s="306" t="s">
        <v>275</v>
      </c>
      <c r="M7" s="329">
        <v>5356</v>
      </c>
      <c r="N7" s="490"/>
      <c r="P7" s="323"/>
      <c r="Q7" s="306" t="s">
        <v>275</v>
      </c>
      <c r="R7" s="329">
        <v>17600</v>
      </c>
      <c r="S7" s="490"/>
      <c r="U7" s="323"/>
      <c r="V7" s="306" t="s">
        <v>275</v>
      </c>
      <c r="W7" s="329">
        <v>3664.88</v>
      </c>
      <c r="X7" s="490"/>
      <c r="Z7" s="323"/>
      <c r="AA7" s="306" t="s">
        <v>275</v>
      </c>
      <c r="AB7" s="329">
        <v>4196.84</v>
      </c>
      <c r="AC7" s="490"/>
      <c r="AE7" s="323"/>
      <c r="AF7" s="306" t="s">
        <v>275</v>
      </c>
      <c r="AG7" s="329">
        <v>3600</v>
      </c>
      <c r="AH7" s="490"/>
      <c r="AI7" s="323"/>
      <c r="AJ7" s="323"/>
      <c r="AK7" s="306" t="s">
        <v>275</v>
      </c>
      <c r="AL7" s="329">
        <v>4848.68</v>
      </c>
      <c r="AM7" s="490"/>
      <c r="AN7" s="330"/>
      <c r="AO7" s="334"/>
      <c r="AP7" s="320" t="s">
        <v>275</v>
      </c>
      <c r="AQ7" s="331">
        <v>6354.9</v>
      </c>
      <c r="AR7" s="485"/>
      <c r="AS7" s="332"/>
      <c r="AT7" s="332"/>
      <c r="AU7" s="334"/>
      <c r="AV7" s="320" t="s">
        <v>275</v>
      </c>
      <c r="AW7" s="331">
        <f>+Simulacion!D7</f>
        <v>1504.8918000000001</v>
      </c>
      <c r="AX7" s="485"/>
      <c r="AY7" s="332"/>
      <c r="AZ7" s="316" t="str">
        <f>+P1</f>
        <v>JESUS ALBERTO MORENO CORDOVA</v>
      </c>
      <c r="BA7" s="321">
        <f>+R53</f>
        <v>222149.51909908769</v>
      </c>
      <c r="BB7" s="321">
        <f>+BA7*S54</f>
        <v>24436.447100899644</v>
      </c>
      <c r="BC7" s="321">
        <f>+BB7+BA7</f>
        <v>246585.96619998734</v>
      </c>
      <c r="BD7" s="322">
        <f t="shared" si="1"/>
        <v>13151.672384182284</v>
      </c>
      <c r="BE7" s="323"/>
      <c r="BF7" s="323">
        <f>+R25</f>
        <v>133142.75470499997</v>
      </c>
      <c r="BT7" s="335"/>
      <c r="BU7" s="336"/>
    </row>
    <row r="8" spans="1:73" x14ac:dyDescent="0.25">
      <c r="B8" s="337" t="s">
        <v>276</v>
      </c>
      <c r="C8" s="329">
        <v>3011.98</v>
      </c>
      <c r="D8" s="338">
        <f t="shared" ref="D8:D15" si="2">(C8/2)*4.33</f>
        <v>6520.9367000000002</v>
      </c>
      <c r="G8" s="337" t="s">
        <v>276</v>
      </c>
      <c r="H8" s="329">
        <v>1751.15</v>
      </c>
      <c r="I8" s="338">
        <f t="shared" ref="I8:I15" si="3">(H8/2)*4.33</f>
        <v>3791.2397500000002</v>
      </c>
      <c r="L8" s="337" t="s">
        <v>276</v>
      </c>
      <c r="M8" s="329">
        <v>1875.83</v>
      </c>
      <c r="N8" s="338">
        <f t="shared" ref="N8:N15" si="4">(M8/2)*4.33</f>
        <v>4061.1719499999999</v>
      </c>
      <c r="Q8" s="337" t="s">
        <v>276</v>
      </c>
      <c r="R8" s="329">
        <v>6164.06</v>
      </c>
      <c r="S8" s="338">
        <f>(R8/2)*4.33</f>
        <v>13345.189900000001</v>
      </c>
      <c r="V8" s="337" t="s">
        <v>276</v>
      </c>
      <c r="W8" s="329">
        <v>1282.7080000000001</v>
      </c>
      <c r="X8" s="338">
        <f t="shared" ref="X8:X15" si="5">(W8/2)*4.33</f>
        <v>2777.0628200000001</v>
      </c>
      <c r="AA8" s="337" t="s">
        <v>276</v>
      </c>
      <c r="AB8" s="329">
        <v>1468.89</v>
      </c>
      <c r="AC8" s="338">
        <f t="shared" ref="AC8:AC15" si="6">(AB8/2)*4.33</f>
        <v>3180.1468500000001</v>
      </c>
      <c r="AF8" s="337" t="s">
        <v>276</v>
      </c>
      <c r="AG8" s="329">
        <v>1260</v>
      </c>
      <c r="AH8" s="338">
        <f t="shared" ref="AH8:AH15" si="7">(AG8/2)*4.33</f>
        <v>2727.9</v>
      </c>
      <c r="AI8" s="323"/>
      <c r="AK8" s="337" t="s">
        <v>276</v>
      </c>
      <c r="AL8" s="329">
        <v>1697.0380000000002</v>
      </c>
      <c r="AM8" s="338">
        <f t="shared" ref="AM8:AM15" si="8">(AL8/2)*4.33</f>
        <v>3674.0872700000004</v>
      </c>
      <c r="AN8" s="339"/>
      <c r="AP8" s="340" t="s">
        <v>276</v>
      </c>
      <c r="AQ8" s="331">
        <v>2224.2150000000001</v>
      </c>
      <c r="AR8" s="341">
        <f t="shared" ref="AR8:AR15" si="9">(AQ8/2)*4.33</f>
        <v>4815.425475</v>
      </c>
      <c r="AS8" s="342"/>
      <c r="AT8" s="342"/>
      <c r="AV8" s="340" t="s">
        <v>276</v>
      </c>
      <c r="AW8" s="331">
        <f>+Simulacion!D11</f>
        <v>527.05870658154004</v>
      </c>
      <c r="AX8" s="341">
        <f t="shared" ref="AX8:AX15" si="10">(AW8/2)*4.33</f>
        <v>1141.0820997490341</v>
      </c>
      <c r="AY8" s="342"/>
      <c r="AZ8" s="316" t="str">
        <f>+U1</f>
        <v>JORGE GUTIERREZ</v>
      </c>
      <c r="BA8" s="321">
        <f>+W53</f>
        <v>45534.352341065867</v>
      </c>
      <c r="BB8" s="321">
        <f>+BA8*X54</f>
        <v>5919.4658043385625</v>
      </c>
      <c r="BC8" s="321">
        <f t="shared" ref="BC8:BC10" si="11">+BB8+BA8</f>
        <v>51453.818145404432</v>
      </c>
      <c r="BD8" s="322">
        <f t="shared" si="1"/>
        <v>2744.2914517480253</v>
      </c>
      <c r="BE8" s="323"/>
      <c r="BF8" s="323">
        <f>+W25</f>
        <v>26584.830693643831</v>
      </c>
    </row>
    <row r="9" spans="1:73" ht="15.95" customHeight="1" x14ac:dyDescent="0.25">
      <c r="B9" s="337" t="s">
        <v>277</v>
      </c>
      <c r="C9" s="329">
        <v>3011.98</v>
      </c>
      <c r="D9" s="338">
        <f t="shared" si="2"/>
        <v>6520.9367000000002</v>
      </c>
      <c r="G9" s="337" t="s">
        <v>277</v>
      </c>
      <c r="H9" s="329">
        <v>1751.15</v>
      </c>
      <c r="I9" s="338">
        <f t="shared" si="3"/>
        <v>3791.2397500000002</v>
      </c>
      <c r="L9" s="337" t="s">
        <v>277</v>
      </c>
      <c r="M9" s="329">
        <v>1875.83</v>
      </c>
      <c r="N9" s="338">
        <f t="shared" si="4"/>
        <v>4061.1719499999999</v>
      </c>
      <c r="Q9" s="337" t="s">
        <v>277</v>
      </c>
      <c r="R9" s="329">
        <v>6164.06</v>
      </c>
      <c r="S9" s="338">
        <f t="shared" ref="S9:S15" si="12">(R9/2)*4.33</f>
        <v>13345.189900000001</v>
      </c>
      <c r="V9" s="337" t="s">
        <v>277</v>
      </c>
      <c r="W9" s="329">
        <v>1282.7080000000001</v>
      </c>
      <c r="X9" s="338">
        <f t="shared" si="5"/>
        <v>2777.0628200000001</v>
      </c>
      <c r="AA9" s="337" t="s">
        <v>277</v>
      </c>
      <c r="AB9" s="329">
        <v>1468.89</v>
      </c>
      <c r="AC9" s="338">
        <f t="shared" si="6"/>
        <v>3180.1468500000001</v>
      </c>
      <c r="AF9" s="337" t="s">
        <v>277</v>
      </c>
      <c r="AG9" s="329">
        <v>1260</v>
      </c>
      <c r="AH9" s="338">
        <f t="shared" si="7"/>
        <v>2727.9</v>
      </c>
      <c r="AK9" s="337" t="s">
        <v>277</v>
      </c>
      <c r="AL9" s="329">
        <v>1697.0380000000002</v>
      </c>
      <c r="AM9" s="338">
        <f t="shared" si="8"/>
        <v>3674.0872700000004</v>
      </c>
      <c r="AN9" s="339"/>
      <c r="AP9" s="340" t="s">
        <v>277</v>
      </c>
      <c r="AQ9" s="331">
        <v>2224.2150000000001</v>
      </c>
      <c r="AR9" s="341">
        <f t="shared" si="9"/>
        <v>4815.425475</v>
      </c>
      <c r="AS9" s="342"/>
      <c r="AT9" s="342"/>
      <c r="AV9" s="340" t="s">
        <v>277</v>
      </c>
      <c r="AW9" s="331">
        <f>+Simulacion!D12</f>
        <v>527.05870658154004</v>
      </c>
      <c r="AX9" s="341">
        <f t="shared" si="10"/>
        <v>1141.0820997490341</v>
      </c>
      <c r="AY9" s="342"/>
      <c r="AZ9" s="316" t="str">
        <f>+Z1</f>
        <v>DITHER ROSAS</v>
      </c>
      <c r="BA9" s="321">
        <f>+AB53</f>
        <v>51443.137908902267</v>
      </c>
      <c r="BB9" s="321">
        <f>+BA9*AC54</f>
        <v>6687.6079281572947</v>
      </c>
      <c r="BC9" s="321">
        <f t="shared" si="11"/>
        <v>58130.745837059563</v>
      </c>
      <c r="BD9" s="322">
        <f t="shared" si="1"/>
        <v>3100.4056576242206</v>
      </c>
      <c r="BE9" s="323"/>
      <c r="BF9" s="323">
        <f>+AB25</f>
        <v>29840.001164305693</v>
      </c>
      <c r="BG9" s="323"/>
      <c r="BH9" s="343"/>
    </row>
    <row r="10" spans="1:73" ht="15.95" customHeight="1" x14ac:dyDescent="0.25">
      <c r="B10" s="337" t="s">
        <v>30</v>
      </c>
      <c r="C10" s="329">
        <v>4953.92</v>
      </c>
      <c r="D10" s="338">
        <f t="shared" si="2"/>
        <v>10725.236800000001</v>
      </c>
      <c r="G10" s="337" t="s">
        <v>30</v>
      </c>
      <c r="H10" s="329">
        <v>2880.18</v>
      </c>
      <c r="I10" s="338">
        <f t="shared" si="3"/>
        <v>6235.5896999999995</v>
      </c>
      <c r="L10" s="337" t="s">
        <v>30</v>
      </c>
      <c r="M10" s="329">
        <v>3085.25</v>
      </c>
      <c r="N10" s="338">
        <f t="shared" si="4"/>
        <v>6679.5662499999999</v>
      </c>
      <c r="Q10" s="337" t="s">
        <v>30</v>
      </c>
      <c r="R10" s="329">
        <v>10138.25</v>
      </c>
      <c r="S10" s="338">
        <f t="shared" si="12"/>
        <v>21949.311249999999</v>
      </c>
      <c r="V10" s="337" t="s">
        <v>30</v>
      </c>
      <c r="W10" s="329">
        <v>2108.5610958904113</v>
      </c>
      <c r="X10" s="338">
        <f t="shared" si="5"/>
        <v>4565.0347726027403</v>
      </c>
      <c r="AA10" s="337" t="s">
        <v>30</v>
      </c>
      <c r="AB10" s="329">
        <v>2414.6202739726027</v>
      </c>
      <c r="AC10" s="338">
        <f t="shared" si="6"/>
        <v>5227.6528931506846</v>
      </c>
      <c r="AF10" s="337" t="s">
        <v>30</v>
      </c>
      <c r="AG10" s="329">
        <v>2071.23</v>
      </c>
      <c r="AH10" s="338">
        <f t="shared" si="7"/>
        <v>4484.2129500000001</v>
      </c>
      <c r="AK10" s="337" t="s">
        <v>30</v>
      </c>
      <c r="AL10" s="329">
        <v>2789.6515068493154</v>
      </c>
      <c r="AM10" s="338">
        <f t="shared" si="8"/>
        <v>6039.5955123287677</v>
      </c>
      <c r="AN10" s="339"/>
      <c r="AP10" s="340" t="s">
        <v>30</v>
      </c>
      <c r="AQ10" s="331">
        <v>3656.2438356164384</v>
      </c>
      <c r="AR10" s="341">
        <f t="shared" si="9"/>
        <v>7915.7679041095889</v>
      </c>
      <c r="AS10" s="342"/>
      <c r="AT10" s="342"/>
      <c r="AV10" s="340" t="s">
        <v>30</v>
      </c>
      <c r="AW10" s="331">
        <f>+Simulacion!D9</f>
        <v>866.87315668202768</v>
      </c>
      <c r="AX10" s="341">
        <f t="shared" si="10"/>
        <v>1876.7803842165899</v>
      </c>
      <c r="AY10" s="342"/>
      <c r="AZ10" s="316" t="str">
        <f>+AE1</f>
        <v>JUAN CARLOS MENDOZA</v>
      </c>
      <c r="BA10" s="321">
        <f>+AG53</f>
        <v>46171.028625368417</v>
      </c>
      <c r="BB10" s="321">
        <f>+BA10*AH54</f>
        <v>6002.2337212978946</v>
      </c>
      <c r="BC10" s="321">
        <f t="shared" si="11"/>
        <v>52173.262346666314</v>
      </c>
      <c r="BD10" s="322">
        <f t="shared" si="1"/>
        <v>2782.6630370393887</v>
      </c>
      <c r="BE10" s="323"/>
      <c r="BF10" s="323">
        <f>+AG25</f>
        <v>26187.822052602736</v>
      </c>
    </row>
    <row r="11" spans="1:73" ht="26.25" x14ac:dyDescent="0.25">
      <c r="B11" s="344" t="s">
        <v>278</v>
      </c>
      <c r="C11" s="329">
        <v>138.25</v>
      </c>
      <c r="D11" s="338">
        <f t="shared" si="2"/>
        <v>299.31125000000003</v>
      </c>
      <c r="G11" s="344" t="s">
        <v>279</v>
      </c>
      <c r="H11" s="329">
        <v>17.28</v>
      </c>
      <c r="I11" s="338">
        <f t="shared" si="3"/>
        <v>37.411200000000001</v>
      </c>
      <c r="L11" s="344" t="s">
        <v>278</v>
      </c>
      <c r="M11" s="329">
        <v>138.25</v>
      </c>
      <c r="N11" s="338">
        <f t="shared" si="4"/>
        <v>299.31125000000003</v>
      </c>
      <c r="Q11" s="344" t="s">
        <v>279</v>
      </c>
      <c r="R11" s="329">
        <v>17.28</v>
      </c>
      <c r="S11" s="338">
        <f t="shared" si="12"/>
        <v>37.411200000000001</v>
      </c>
      <c r="V11" s="344" t="s">
        <v>279</v>
      </c>
      <c r="W11" s="329">
        <v>17.28</v>
      </c>
      <c r="X11" s="338">
        <f t="shared" si="5"/>
        <v>37.411200000000001</v>
      </c>
      <c r="AA11" s="344" t="s">
        <v>279</v>
      </c>
      <c r="AB11" s="329">
        <v>17.28</v>
      </c>
      <c r="AC11" s="338">
        <f t="shared" si="6"/>
        <v>37.411200000000001</v>
      </c>
      <c r="AF11" s="344" t="s">
        <v>279</v>
      </c>
      <c r="AG11" s="329">
        <v>17.28</v>
      </c>
      <c r="AH11" s="338">
        <f t="shared" si="7"/>
        <v>37.411200000000001</v>
      </c>
      <c r="AK11" s="344" t="s">
        <v>279</v>
      </c>
      <c r="AL11" s="329">
        <v>17.28</v>
      </c>
      <c r="AM11" s="338">
        <f t="shared" si="8"/>
        <v>37.411200000000001</v>
      </c>
      <c r="AN11" s="339"/>
      <c r="AP11" s="345" t="s">
        <v>279</v>
      </c>
      <c r="AQ11" s="331">
        <v>17.28</v>
      </c>
      <c r="AR11" s="341">
        <f t="shared" si="9"/>
        <v>37.411200000000001</v>
      </c>
      <c r="AS11" s="342"/>
      <c r="AT11" s="342"/>
      <c r="AV11" s="345" t="s">
        <v>279</v>
      </c>
      <c r="AW11" s="331">
        <f>+Simulacion!D14</f>
        <v>17.28</v>
      </c>
      <c r="AX11" s="341">
        <f t="shared" si="10"/>
        <v>37.411200000000001</v>
      </c>
      <c r="AY11" s="342"/>
      <c r="AZ11" s="316" t="str">
        <f>+AJ1</f>
        <v>IVAN SALAZAR</v>
      </c>
      <c r="BA11" s="321">
        <f>+AL53</f>
        <v>60332.749263348742</v>
      </c>
      <c r="BB11" s="321">
        <f>+BA11*AM54</f>
        <v>7843.2574042353363</v>
      </c>
      <c r="BC11" s="321">
        <f>+BB11+BA11</f>
        <v>68176.006667584079</v>
      </c>
      <c r="BD11" s="322">
        <f t="shared" si="1"/>
        <v>3636.1700463793013</v>
      </c>
      <c r="BE11" s="323"/>
      <c r="BF11" s="323">
        <f>+AL25</f>
        <v>34024.133983470805</v>
      </c>
    </row>
    <row r="12" spans="1:73" ht="26.25" customHeight="1" x14ac:dyDescent="0.25">
      <c r="B12" s="344" t="s">
        <v>279</v>
      </c>
      <c r="C12" s="329">
        <v>17.28</v>
      </c>
      <c r="D12" s="338">
        <f t="shared" si="2"/>
        <v>37.411200000000001</v>
      </c>
      <c r="G12" s="344" t="s">
        <v>278</v>
      </c>
      <c r="H12" s="329">
        <v>138.25</v>
      </c>
      <c r="I12" s="338">
        <f t="shared" si="3"/>
        <v>299.31125000000003</v>
      </c>
      <c r="L12" s="344" t="s">
        <v>279</v>
      </c>
      <c r="M12" s="329">
        <v>17.28</v>
      </c>
      <c r="N12" s="338">
        <f t="shared" si="4"/>
        <v>37.411200000000001</v>
      </c>
      <c r="Q12" s="344" t="s">
        <v>278</v>
      </c>
      <c r="R12" s="329">
        <v>138.25</v>
      </c>
      <c r="S12" s="338">
        <f t="shared" si="12"/>
        <v>299.31125000000003</v>
      </c>
      <c r="V12" s="344" t="s">
        <v>278</v>
      </c>
      <c r="W12" s="329">
        <v>138.25</v>
      </c>
      <c r="X12" s="338">
        <f t="shared" si="5"/>
        <v>299.31125000000003</v>
      </c>
      <c r="AA12" s="344" t="s">
        <v>278</v>
      </c>
      <c r="AB12" s="329">
        <v>138.25</v>
      </c>
      <c r="AC12" s="338">
        <f t="shared" si="6"/>
        <v>299.31125000000003</v>
      </c>
      <c r="AF12" s="344" t="s">
        <v>278</v>
      </c>
      <c r="AG12" s="329">
        <v>138.25</v>
      </c>
      <c r="AH12" s="338">
        <f t="shared" si="7"/>
        <v>299.31125000000003</v>
      </c>
      <c r="AK12" s="344" t="s">
        <v>278</v>
      </c>
      <c r="AL12" s="329">
        <v>138.25</v>
      </c>
      <c r="AM12" s="338">
        <f t="shared" si="8"/>
        <v>299.31125000000003</v>
      </c>
      <c r="AN12" s="339"/>
      <c r="AP12" s="345" t="s">
        <v>278</v>
      </c>
      <c r="AQ12" s="331">
        <v>138.25</v>
      </c>
      <c r="AR12" s="341">
        <f t="shared" si="9"/>
        <v>299.31125000000003</v>
      </c>
      <c r="AS12" s="342"/>
      <c r="AT12" s="342"/>
      <c r="AV12" s="345" t="s">
        <v>278</v>
      </c>
      <c r="AW12" s="331">
        <f>+Simulacion!D13</f>
        <v>138.25</v>
      </c>
      <c r="AX12" s="341">
        <f t="shared" si="10"/>
        <v>299.31125000000003</v>
      </c>
      <c r="AY12" s="342"/>
      <c r="AZ12" s="316" t="s">
        <v>280</v>
      </c>
      <c r="BA12" s="321">
        <f>+AW46</f>
        <v>28614.329553101637</v>
      </c>
      <c r="BB12" s="321">
        <f>+BA12*AX54</f>
        <v>0</v>
      </c>
      <c r="BC12" s="321">
        <f>+BA12+BB12</f>
        <v>28614.329553101637</v>
      </c>
      <c r="BD12" s="322">
        <f>BC12/$BD$2</f>
        <v>1526.1464128506318</v>
      </c>
      <c r="BF12" s="323">
        <f>+AW25</f>
        <v>20328.230775545468</v>
      </c>
    </row>
    <row r="13" spans="1:73" ht="26.25" x14ac:dyDescent="0.25">
      <c r="B13" s="344" t="s">
        <v>281</v>
      </c>
      <c r="C13" s="329">
        <v>12047.93</v>
      </c>
      <c r="D13" s="338">
        <f t="shared" si="2"/>
        <v>26083.76845</v>
      </c>
      <c r="G13" s="344" t="s">
        <v>281</v>
      </c>
      <c r="H13" s="329">
        <v>7004.61</v>
      </c>
      <c r="I13" s="338">
        <f t="shared" si="3"/>
        <v>15164.98065</v>
      </c>
      <c r="L13" s="344" t="s">
        <v>281</v>
      </c>
      <c r="M13" s="329">
        <v>7503.34</v>
      </c>
      <c r="N13" s="338">
        <f t="shared" si="4"/>
        <v>16244.731100000001</v>
      </c>
      <c r="Q13" s="344" t="s">
        <v>281</v>
      </c>
      <c r="R13" s="329">
        <v>46082.95</v>
      </c>
      <c r="S13" s="338">
        <f t="shared" si="12"/>
        <v>99769.586750000002</v>
      </c>
      <c r="V13" s="344" t="s">
        <v>281</v>
      </c>
      <c r="W13" s="329">
        <v>2565.4160000000002</v>
      </c>
      <c r="X13" s="338">
        <f t="shared" si="5"/>
        <v>5554.1256400000002</v>
      </c>
      <c r="AA13" s="344" t="s">
        <v>281</v>
      </c>
      <c r="AB13" s="329">
        <v>2937.7880000000005</v>
      </c>
      <c r="AC13" s="338">
        <f t="shared" si="6"/>
        <v>6360.311020000001</v>
      </c>
      <c r="AF13" s="344" t="s">
        <v>281</v>
      </c>
      <c r="AG13" s="329">
        <v>2520</v>
      </c>
      <c r="AH13" s="338">
        <f t="shared" si="7"/>
        <v>5455.8</v>
      </c>
      <c r="AI13" s="323"/>
      <c r="AK13" s="344" t="s">
        <v>281</v>
      </c>
      <c r="AL13" s="329">
        <v>3394.0760000000005</v>
      </c>
      <c r="AM13" s="338">
        <f t="shared" si="8"/>
        <v>7348.1745400000009</v>
      </c>
      <c r="AN13" s="339"/>
      <c r="AP13" s="345" t="s">
        <v>281</v>
      </c>
      <c r="AQ13" s="331">
        <v>2935.9638</v>
      </c>
      <c r="AR13" s="341">
        <f t="shared" si="9"/>
        <v>6356.3616270000002</v>
      </c>
      <c r="AS13" s="342"/>
      <c r="AT13" s="342"/>
      <c r="AV13" s="345" t="s">
        <v>281</v>
      </c>
      <c r="AW13" s="331">
        <f>+Simulacion!D15</f>
        <v>10541.177585253457</v>
      </c>
      <c r="AX13" s="341">
        <f t="shared" si="10"/>
        <v>22821.649472073736</v>
      </c>
      <c r="AY13" s="342"/>
      <c r="BA13" s="346"/>
      <c r="BB13" s="347" t="s">
        <v>282</v>
      </c>
      <c r="BC13" s="348">
        <f>SUM(BC4:BC12)</f>
        <v>768594.73731202097</v>
      </c>
      <c r="BD13" s="349">
        <f>BC13/$BD$2</f>
        <v>40993.031100302993</v>
      </c>
      <c r="BF13" s="350">
        <f>SUM(BF4:BF12)</f>
        <v>408011.56643408898</v>
      </c>
    </row>
    <row r="14" spans="1:73" x14ac:dyDescent="0.25">
      <c r="B14" s="337" t="s">
        <v>283</v>
      </c>
      <c r="C14" s="329">
        <v>1520.58</v>
      </c>
      <c r="D14" s="338">
        <f t="shared" si="2"/>
        <v>3292.0556999999999</v>
      </c>
      <c r="G14" s="337" t="s">
        <v>283</v>
      </c>
      <c r="H14" s="329">
        <v>1520.58</v>
      </c>
      <c r="I14" s="338">
        <f t="shared" si="3"/>
        <v>3292.0556999999999</v>
      </c>
      <c r="L14" s="337" t="s">
        <v>283</v>
      </c>
      <c r="M14" s="329">
        <v>1520.58</v>
      </c>
      <c r="N14" s="338">
        <f t="shared" si="4"/>
        <v>3292.0556999999999</v>
      </c>
      <c r="Q14" s="337" t="s">
        <v>284</v>
      </c>
      <c r="R14" s="329">
        <v>1520.58</v>
      </c>
      <c r="S14" s="338">
        <f t="shared" si="12"/>
        <v>3292.0556999999999</v>
      </c>
      <c r="V14" s="337" t="s">
        <v>284</v>
      </c>
      <c r="W14" s="329">
        <v>1520.58</v>
      </c>
      <c r="X14" s="338">
        <f t="shared" si="5"/>
        <v>3292.0556999999999</v>
      </c>
      <c r="AA14" s="337" t="s">
        <v>284</v>
      </c>
      <c r="AB14" s="329">
        <v>1520.58</v>
      </c>
      <c r="AC14" s="338">
        <f t="shared" si="6"/>
        <v>3292.0556999999999</v>
      </c>
      <c r="AF14" s="337" t="s">
        <v>284</v>
      </c>
      <c r="AG14" s="329">
        <v>1520.58</v>
      </c>
      <c r="AH14" s="338">
        <f t="shared" si="7"/>
        <v>3292.0556999999999</v>
      </c>
      <c r="AK14" s="337" t="s">
        <v>284</v>
      </c>
      <c r="AL14" s="329">
        <v>1520.58</v>
      </c>
      <c r="AM14" s="338">
        <f t="shared" si="8"/>
        <v>3292.0556999999999</v>
      </c>
      <c r="AN14" s="339"/>
      <c r="AP14" s="340" t="s">
        <v>284</v>
      </c>
      <c r="AQ14" s="331">
        <v>1520.58</v>
      </c>
      <c r="AR14" s="341">
        <f t="shared" si="9"/>
        <v>3292.0556999999999</v>
      </c>
      <c r="AS14" s="342"/>
      <c r="AT14" s="342"/>
      <c r="AV14" s="340" t="s">
        <v>284</v>
      </c>
      <c r="AW14" s="331">
        <f>+Simulacion!D10</f>
        <v>1520.58</v>
      </c>
      <c r="AX14" s="341">
        <f t="shared" si="10"/>
        <v>3292.0556999999999</v>
      </c>
      <c r="AY14" s="342"/>
      <c r="AZ14" s="323"/>
      <c r="BA14" s="323"/>
      <c r="BC14" s="323"/>
      <c r="BD14" s="322">
        <v>0</v>
      </c>
    </row>
    <row r="15" spans="1:73" x14ac:dyDescent="0.25">
      <c r="B15" s="337" t="s">
        <v>285</v>
      </c>
      <c r="C15" s="329">
        <v>990.78</v>
      </c>
      <c r="D15" s="338">
        <f t="shared" si="2"/>
        <v>2145.0387000000001</v>
      </c>
      <c r="G15" s="337" t="s">
        <v>285</v>
      </c>
      <c r="H15" s="329">
        <v>576.04</v>
      </c>
      <c r="I15" s="338">
        <f t="shared" si="3"/>
        <v>1247.1266000000001</v>
      </c>
      <c r="L15" s="337" t="s">
        <v>285</v>
      </c>
      <c r="M15" s="329">
        <v>617.04999999999995</v>
      </c>
      <c r="N15" s="338">
        <f t="shared" si="4"/>
        <v>1335.9132499999998</v>
      </c>
      <c r="Q15" s="337" t="s">
        <v>285</v>
      </c>
      <c r="R15" s="329">
        <v>2027.65</v>
      </c>
      <c r="S15" s="338">
        <f t="shared" si="12"/>
        <v>4389.8622500000001</v>
      </c>
      <c r="V15" s="337" t="s">
        <v>285</v>
      </c>
      <c r="W15" s="329">
        <v>210.97</v>
      </c>
      <c r="X15" s="338">
        <f t="shared" si="5"/>
        <v>456.75004999999999</v>
      </c>
      <c r="AA15" s="337" t="s">
        <v>285</v>
      </c>
      <c r="AB15" s="329">
        <v>241.59440789473686</v>
      </c>
      <c r="AC15" s="338">
        <f t="shared" si="6"/>
        <v>523.05189309210527</v>
      </c>
      <c r="AF15" s="337" t="s">
        <v>285</v>
      </c>
      <c r="AG15" s="329">
        <v>207.24</v>
      </c>
      <c r="AH15" s="338">
        <f t="shared" si="7"/>
        <v>448.67460000000005</v>
      </c>
      <c r="AK15" s="337" t="s">
        <v>285</v>
      </c>
      <c r="AL15" s="329">
        <v>558.2361842105264</v>
      </c>
      <c r="AM15" s="338">
        <f t="shared" si="8"/>
        <v>1208.5813388157896</v>
      </c>
      <c r="AN15" s="339"/>
      <c r="AP15" s="340" t="s">
        <v>285</v>
      </c>
      <c r="AQ15" s="331">
        <v>365.82483552631572</v>
      </c>
      <c r="AR15" s="341">
        <f t="shared" si="9"/>
        <v>792.0107689144736</v>
      </c>
      <c r="AS15" s="342"/>
      <c r="AT15" s="342"/>
      <c r="AV15" s="340" t="s">
        <v>285</v>
      </c>
      <c r="AW15" s="331">
        <f>+Simulacion!D8</f>
        <v>173.37463133640554</v>
      </c>
      <c r="AX15" s="341">
        <f t="shared" si="10"/>
        <v>375.35607684331802</v>
      </c>
      <c r="AY15" s="342"/>
      <c r="BE15" s="339"/>
      <c r="BF15" s="339"/>
      <c r="BG15" s="339"/>
      <c r="BH15" s="351"/>
    </row>
    <row r="16" spans="1:73" x14ac:dyDescent="0.25">
      <c r="B16" s="352" t="s">
        <v>286</v>
      </c>
      <c r="C16" s="353">
        <f>SUM(C6:C15)</f>
        <v>85892.7</v>
      </c>
      <c r="D16" s="354">
        <f>SUM(D6:D15)</f>
        <v>185957.6955</v>
      </c>
      <c r="G16" s="352" t="s">
        <v>286</v>
      </c>
      <c r="H16" s="353">
        <f>SUM(H6:H15)</f>
        <v>50639.240000000005</v>
      </c>
      <c r="I16" s="354">
        <f>SUM(I6:I15)</f>
        <v>109633.95459999998</v>
      </c>
      <c r="J16" s="355"/>
      <c r="L16" s="352" t="s">
        <v>286</v>
      </c>
      <c r="M16" s="353">
        <f>SUM(M6:M15)</f>
        <v>54125.41</v>
      </c>
      <c r="N16" s="354">
        <f>SUM(N6:N15)</f>
        <v>117181.51265000002</v>
      </c>
      <c r="O16" s="355"/>
      <c r="Q16" s="352" t="s">
        <v>286</v>
      </c>
      <c r="R16" s="353">
        <f>SUM(R6:R15)</f>
        <v>195453.07999999996</v>
      </c>
      <c r="S16" s="354">
        <f>SUM(S6:S15)</f>
        <v>423155.91820000007</v>
      </c>
      <c r="T16" s="355"/>
      <c r="V16" s="352" t="s">
        <v>286</v>
      </c>
      <c r="W16" s="353">
        <f>SUM(W6:W15)</f>
        <v>34780.633095890407</v>
      </c>
      <c r="X16" s="354">
        <f>SUM(X6:X15)</f>
        <v>75300.070652602735</v>
      </c>
      <c r="Y16" s="355"/>
      <c r="AA16" s="352" t="s">
        <v>286</v>
      </c>
      <c r="AB16" s="353">
        <f>SUM(AB6:AB15)</f>
        <v>39585.77268186734</v>
      </c>
      <c r="AC16" s="354">
        <f>SUM(AC6:AC15)</f>
        <v>85703.197856242798</v>
      </c>
      <c r="AD16" s="355"/>
      <c r="AF16" s="352" t="s">
        <v>286</v>
      </c>
      <c r="AG16" s="353">
        <f>SUM(AG6:AG15)</f>
        <v>34194.579999999994</v>
      </c>
      <c r="AH16" s="354">
        <f>SUM(AH6:AH15)</f>
        <v>74031.265700000004</v>
      </c>
      <c r="AK16" s="352" t="s">
        <v>286</v>
      </c>
      <c r="AL16" s="353">
        <f>SUM(AL6:AL15)</f>
        <v>45752.909691059845</v>
      </c>
      <c r="AM16" s="354">
        <f>SUM(AM6:AM15)</f>
        <v>99055.049481144568</v>
      </c>
      <c r="AN16" s="356"/>
      <c r="AP16" s="357" t="s">
        <v>286</v>
      </c>
      <c r="AQ16" s="358">
        <f>SUM(AQ6:AQ15)</f>
        <v>57566.872471142742</v>
      </c>
      <c r="AR16" s="359">
        <f>SUM(AR6:AR15)</f>
        <v>124632.27890002404</v>
      </c>
      <c r="AS16" s="360"/>
      <c r="AT16" s="360"/>
      <c r="AV16" s="357" t="s">
        <v>286</v>
      </c>
      <c r="AW16" s="358">
        <f>SUM(AW6:AW15)</f>
        <v>24845.895386434971</v>
      </c>
      <c r="AX16" s="359">
        <f>SUM(AX6:AX15)</f>
        <v>53791.363511631702</v>
      </c>
      <c r="AY16" s="360"/>
      <c r="AZ16" s="339"/>
      <c r="BA16" s="339"/>
      <c r="BB16" s="339"/>
      <c r="BC16" s="339"/>
      <c r="BD16" s="339"/>
      <c r="BE16" s="356"/>
      <c r="BF16" s="356"/>
      <c r="BG16" s="356"/>
      <c r="BH16" s="361"/>
    </row>
    <row r="17" spans="1:89" x14ac:dyDescent="0.25">
      <c r="C17" s="329"/>
      <c r="H17" s="329"/>
      <c r="M17" s="329"/>
      <c r="N17" s="355"/>
      <c r="R17" s="329"/>
      <c r="W17" s="329"/>
      <c r="AB17" s="329"/>
      <c r="AG17" s="329"/>
      <c r="AL17" s="329"/>
      <c r="AQ17" s="331"/>
      <c r="AW17" s="331"/>
      <c r="AZ17" s="356"/>
      <c r="BA17" s="356"/>
      <c r="BB17" s="356"/>
      <c r="BC17" s="356"/>
      <c r="BD17" s="356"/>
    </row>
    <row r="18" spans="1:89" x14ac:dyDescent="0.25">
      <c r="A18" s="324" t="s">
        <v>287</v>
      </c>
      <c r="C18" s="329"/>
      <c r="D18" s="323"/>
      <c r="F18" s="324" t="s">
        <v>287</v>
      </c>
      <c r="H18" s="329"/>
      <c r="K18" s="324" t="s">
        <v>287</v>
      </c>
      <c r="M18" s="329"/>
      <c r="P18" s="324" t="s">
        <v>287</v>
      </c>
      <c r="R18" s="329"/>
      <c r="U18" s="324" t="s">
        <v>287</v>
      </c>
      <c r="W18" s="329"/>
      <c r="Z18" s="324" t="s">
        <v>287</v>
      </c>
      <c r="AB18" s="329"/>
      <c r="AE18" s="324" t="s">
        <v>287</v>
      </c>
      <c r="AG18" s="329"/>
      <c r="AJ18" s="324" t="s">
        <v>287</v>
      </c>
      <c r="AL18" s="329"/>
      <c r="AO18" s="327" t="s">
        <v>287</v>
      </c>
      <c r="AQ18" s="331"/>
      <c r="AU18" s="327" t="s">
        <v>287</v>
      </c>
      <c r="AW18" s="331"/>
    </row>
    <row r="19" spans="1:89" x14ac:dyDescent="0.25">
      <c r="B19" s="337" t="s">
        <v>288</v>
      </c>
      <c r="C19" s="333">
        <v>1119.665295</v>
      </c>
      <c r="G19" s="337" t="s">
        <v>288</v>
      </c>
      <c r="H19" s="329">
        <v>999.43918027397262</v>
      </c>
      <c r="L19" s="337" t="s">
        <v>288</v>
      </c>
      <c r="M19" s="329">
        <v>1072.0024652054794</v>
      </c>
      <c r="Q19" s="337" t="s">
        <v>288</v>
      </c>
      <c r="R19" s="329">
        <v>1119.665295</v>
      </c>
      <c r="V19" s="337" t="s">
        <v>288</v>
      </c>
      <c r="W19" s="329">
        <v>727.30240224657541</v>
      </c>
      <c r="AA19" s="337" t="s">
        <v>288</v>
      </c>
      <c r="AB19" s="329">
        <v>835.73151756164384</v>
      </c>
      <c r="AF19" s="337" t="s">
        <v>288</v>
      </c>
      <c r="AG19" s="329">
        <v>714.07794739726023</v>
      </c>
      <c r="AK19" s="337" t="s">
        <v>288</v>
      </c>
      <c r="AL19" s="329">
        <v>968.59570758904124</v>
      </c>
      <c r="AP19" s="340" t="s">
        <v>288</v>
      </c>
      <c r="AQ19" s="331">
        <v>1119.665295</v>
      </c>
      <c r="AV19" s="340" t="s">
        <v>288</v>
      </c>
      <c r="AW19" s="331"/>
    </row>
    <row r="20" spans="1:89" x14ac:dyDescent="0.25">
      <c r="B20" s="363" t="s">
        <v>289</v>
      </c>
      <c r="C20" s="364">
        <v>23940.14</v>
      </c>
      <c r="D20" s="365" t="s">
        <v>290</v>
      </c>
      <c r="G20" s="337" t="s">
        <v>289</v>
      </c>
      <c r="H20" s="329">
        <v>12253.37</v>
      </c>
      <c r="L20" s="366" t="s">
        <v>289</v>
      </c>
      <c r="M20" s="367">
        <v>13368.94</v>
      </c>
      <c r="Q20" s="337" t="s">
        <v>289</v>
      </c>
      <c r="R20" s="329">
        <v>61190.66</v>
      </c>
      <c r="V20" s="337" t="s">
        <v>289</v>
      </c>
      <c r="W20" s="329">
        <v>7468.5</v>
      </c>
      <c r="AA20" s="337" t="s">
        <v>289</v>
      </c>
      <c r="AB20" s="329">
        <v>8910.0400000000009</v>
      </c>
      <c r="AF20" s="337" t="s">
        <v>289</v>
      </c>
      <c r="AG20" s="329">
        <v>7292.68</v>
      </c>
      <c r="AK20" s="337" t="s">
        <v>289</v>
      </c>
      <c r="AL20" s="329">
        <v>10760.18</v>
      </c>
      <c r="AP20" s="340" t="s">
        <v>289</v>
      </c>
      <c r="AQ20" s="331">
        <v>14470.21</v>
      </c>
      <c r="AV20" s="340" t="s">
        <v>289</v>
      </c>
      <c r="AW20" s="331">
        <f>+'IMPUESTOS KOFILE'!E29</f>
        <v>4517.6646108895056</v>
      </c>
    </row>
    <row r="21" spans="1:89" x14ac:dyDescent="0.25">
      <c r="B21" s="337" t="s">
        <v>291</v>
      </c>
      <c r="C21" s="368">
        <f>SUM(C19:C20)</f>
        <v>25059.805294999998</v>
      </c>
      <c r="D21" s="369">
        <f>C21/D33</f>
        <v>0.63179266714520255</v>
      </c>
      <c r="G21" s="337" t="s">
        <v>291</v>
      </c>
      <c r="H21" s="368">
        <f>SUM(H19:H20)</f>
        <v>13252.809180273973</v>
      </c>
      <c r="I21" s="369">
        <f>H21/I33</f>
        <v>0.54859376249748715</v>
      </c>
      <c r="L21" s="337" t="s">
        <v>291</v>
      </c>
      <c r="M21" s="368">
        <f>SUM(M19:M20)</f>
        <v>14440.94246520548</v>
      </c>
      <c r="N21" s="369">
        <f>M21/N33</f>
        <v>0.55335877064165262</v>
      </c>
      <c r="Q21" s="337" t="s">
        <v>291</v>
      </c>
      <c r="R21" s="368">
        <f>SUM(R19:R20)</f>
        <v>62310.325295000002</v>
      </c>
      <c r="S21" s="369">
        <f>R21/S33</f>
        <v>0.73101297429862788</v>
      </c>
      <c r="V21" s="337" t="s">
        <v>291</v>
      </c>
      <c r="W21" s="368">
        <f>SUM(W19:W20)</f>
        <v>8195.8024022465761</v>
      </c>
      <c r="X21" s="369">
        <f>W21/X33</f>
        <v>0.50726467551858601</v>
      </c>
      <c r="AA21" s="337" t="s">
        <v>291</v>
      </c>
      <c r="AB21" s="368">
        <f>SUM(AB19:AB20)</f>
        <v>9745.7715175616449</v>
      </c>
      <c r="AC21" s="369">
        <f>AB21/AC33</f>
        <v>0.51810352751780653</v>
      </c>
      <c r="AF21" s="337" t="s">
        <v>291</v>
      </c>
      <c r="AG21" s="368">
        <f>SUM(AG19:AG20)</f>
        <v>8006.7579473972601</v>
      </c>
      <c r="AH21" s="369">
        <f>AG21/AH33</f>
        <v>0.50569402417634668</v>
      </c>
      <c r="AK21" s="337" t="s">
        <v>291</v>
      </c>
      <c r="AL21" s="368">
        <f>SUM(AL19:AL20)</f>
        <v>11728.775707589042</v>
      </c>
      <c r="AM21" s="369">
        <f>AL21/AM33</f>
        <v>0.52930995729863362</v>
      </c>
      <c r="AN21" s="370"/>
      <c r="AP21" s="340" t="s">
        <v>291</v>
      </c>
      <c r="AQ21" s="371">
        <f>SUM(AQ19:AQ20)</f>
        <v>15589.875295</v>
      </c>
      <c r="AR21" s="372">
        <f>AQ21/AR33</f>
        <v>0.55533710413051207</v>
      </c>
      <c r="AS21" s="373"/>
      <c r="AT21" s="373"/>
      <c r="AV21" s="340" t="s">
        <v>291</v>
      </c>
      <c r="AW21" s="371">
        <f>SUM(AW19:AW20)</f>
        <v>4517.6646108895056</v>
      </c>
      <c r="AX21" s="372">
        <f>AW21/AX33</f>
        <v>1</v>
      </c>
      <c r="AY21" s="373"/>
      <c r="BE21" s="370"/>
      <c r="BF21" s="370"/>
      <c r="BG21" s="370"/>
      <c r="BH21" s="374"/>
    </row>
    <row r="22" spans="1:89" x14ac:dyDescent="0.25">
      <c r="C22" s="329"/>
      <c r="H22" s="329"/>
      <c r="M22" s="329"/>
      <c r="R22" s="329"/>
      <c r="W22" s="329"/>
      <c r="AB22" s="329"/>
      <c r="AG22" s="329"/>
      <c r="AL22" s="329"/>
      <c r="AQ22" s="331"/>
      <c r="AW22" s="331"/>
      <c r="AZ22" s="370"/>
      <c r="BA22" s="370"/>
      <c r="BB22" s="370"/>
      <c r="BC22" s="370"/>
      <c r="BD22" s="370"/>
    </row>
    <row r="23" spans="1:89" x14ac:dyDescent="0.25">
      <c r="B23" s="375"/>
      <c r="C23" s="376"/>
      <c r="G23" s="375"/>
      <c r="H23" s="376"/>
      <c r="L23" s="375"/>
      <c r="M23" s="376"/>
      <c r="Q23" s="375"/>
      <c r="R23" s="376"/>
      <c r="V23" s="375"/>
      <c r="W23" s="376"/>
      <c r="AA23" s="375"/>
      <c r="AB23" s="376"/>
      <c r="AF23" s="375"/>
      <c r="AG23" s="376"/>
      <c r="AK23" s="375"/>
      <c r="AL23" s="376"/>
      <c r="AP23" s="377"/>
      <c r="AQ23" s="378"/>
      <c r="AV23" s="377"/>
      <c r="AW23" s="378"/>
    </row>
    <row r="24" spans="1:89" x14ac:dyDescent="0.25">
      <c r="C24" s="329"/>
      <c r="H24" s="329"/>
      <c r="M24" s="329"/>
      <c r="R24" s="329"/>
      <c r="W24" s="329"/>
      <c r="AB24" s="329"/>
      <c r="AG24" s="329"/>
      <c r="AL24" s="329"/>
      <c r="AQ24" s="331"/>
      <c r="AW24" s="331"/>
    </row>
    <row r="25" spans="1:89" x14ac:dyDescent="0.25">
      <c r="B25" s="379" t="s">
        <v>292</v>
      </c>
      <c r="C25" s="380">
        <f>C16-C21-C23</f>
        <v>60832.894704999999</v>
      </c>
      <c r="G25" s="379" t="s">
        <v>292</v>
      </c>
      <c r="H25" s="380">
        <f>H16-H21-H23</f>
        <v>37386.430819726032</v>
      </c>
      <c r="L25" s="379" t="s">
        <v>292</v>
      </c>
      <c r="M25" s="380">
        <f>M16-M21-M23</f>
        <v>39684.467534794523</v>
      </c>
      <c r="Q25" s="379" t="s">
        <v>292</v>
      </c>
      <c r="R25" s="380">
        <f>R16-R21-R23</f>
        <v>133142.75470499997</v>
      </c>
      <c r="V25" s="379" t="s">
        <v>292</v>
      </c>
      <c r="W25" s="380">
        <f>W16-W21-W23</f>
        <v>26584.830693643831</v>
      </c>
      <c r="AA25" s="379" t="s">
        <v>292</v>
      </c>
      <c r="AB25" s="380">
        <f>AB16-AB21-AB23</f>
        <v>29840.001164305693</v>
      </c>
      <c r="AF25" s="379" t="s">
        <v>292</v>
      </c>
      <c r="AG25" s="380">
        <f>AG16-AG21-AG23</f>
        <v>26187.822052602736</v>
      </c>
      <c r="AK25" s="379" t="s">
        <v>292</v>
      </c>
      <c r="AL25" s="380">
        <f>AL16-AL21-AL23</f>
        <v>34024.133983470805</v>
      </c>
      <c r="AP25" s="381" t="s">
        <v>292</v>
      </c>
      <c r="AQ25" s="380">
        <f>AQ16-AQ21-AQ23</f>
        <v>41976.997176142744</v>
      </c>
      <c r="AV25" s="381" t="s">
        <v>292</v>
      </c>
      <c r="AW25" s="380">
        <f>AW16-AW21-AW23</f>
        <v>20328.230775545468</v>
      </c>
    </row>
    <row r="26" spans="1:89" x14ac:dyDescent="0.25">
      <c r="A26" s="382"/>
      <c r="B26" s="337"/>
      <c r="C26" s="383"/>
      <c r="E26" s="382"/>
      <c r="F26" s="382"/>
      <c r="G26" s="337"/>
      <c r="H26" s="383"/>
      <c r="J26" s="382"/>
      <c r="K26" s="382"/>
      <c r="L26" s="337"/>
      <c r="M26" s="383"/>
      <c r="O26" s="382"/>
      <c r="P26" s="382"/>
      <c r="Q26" s="337"/>
      <c r="R26" s="383"/>
      <c r="T26" s="382"/>
      <c r="U26" s="382"/>
      <c r="V26" s="337"/>
      <c r="W26" s="383"/>
      <c r="Y26" s="382"/>
      <c r="Z26" s="382"/>
      <c r="AA26" s="337"/>
      <c r="AB26" s="383"/>
      <c r="AD26" s="382"/>
      <c r="AE26" s="382"/>
      <c r="AF26" s="337"/>
      <c r="AG26" s="383"/>
      <c r="AI26" s="382"/>
      <c r="AJ26" s="382"/>
      <c r="AK26" s="337"/>
      <c r="AL26" s="383"/>
      <c r="AO26" s="384"/>
      <c r="AP26" s="340"/>
      <c r="AQ26" s="383"/>
      <c r="AU26" s="384"/>
      <c r="AV26" s="340"/>
      <c r="AW26" s="383"/>
      <c r="AZ26" s="323"/>
    </row>
    <row r="27" spans="1:89" s="382" customFormat="1" x14ac:dyDescent="0.25">
      <c r="A27" s="324" t="s">
        <v>293</v>
      </c>
      <c r="B27" s="306"/>
      <c r="C27" s="329"/>
      <c r="D27" s="306"/>
      <c r="E27" s="306"/>
      <c r="F27" s="324" t="s">
        <v>293</v>
      </c>
      <c r="G27" s="306"/>
      <c r="H27" s="329"/>
      <c r="I27" s="306"/>
      <c r="J27" s="306"/>
      <c r="K27" s="324" t="s">
        <v>293</v>
      </c>
      <c r="L27" s="306"/>
      <c r="M27" s="329"/>
      <c r="N27" s="306"/>
      <c r="O27" s="306"/>
      <c r="P27" s="324" t="s">
        <v>293</v>
      </c>
      <c r="Q27" s="306"/>
      <c r="R27" s="329"/>
      <c r="S27" s="306"/>
      <c r="T27" s="306"/>
      <c r="U27" s="324" t="s">
        <v>293</v>
      </c>
      <c r="V27" s="306"/>
      <c r="W27" s="329"/>
      <c r="X27" s="306"/>
      <c r="Y27" s="306"/>
      <c r="Z27" s="324" t="s">
        <v>293</v>
      </c>
      <c r="AA27" s="306"/>
      <c r="AB27" s="329"/>
      <c r="AC27" s="306"/>
      <c r="AD27" s="306"/>
      <c r="AE27" s="324" t="s">
        <v>293</v>
      </c>
      <c r="AF27" s="306"/>
      <c r="AG27" s="329"/>
      <c r="AH27" s="306"/>
      <c r="AI27" s="306"/>
      <c r="AJ27" s="324" t="s">
        <v>293</v>
      </c>
      <c r="AK27" s="306"/>
      <c r="AL27" s="329"/>
      <c r="AM27" s="306"/>
      <c r="AN27" s="306"/>
      <c r="AO27" s="327" t="s">
        <v>293</v>
      </c>
      <c r="AP27" s="320"/>
      <c r="AQ27" s="331"/>
      <c r="AR27" s="320"/>
      <c r="AS27" s="320"/>
      <c r="AT27" s="320"/>
      <c r="AU27" s="327" t="s">
        <v>293</v>
      </c>
      <c r="AV27" s="320"/>
      <c r="AW27" s="331"/>
      <c r="AX27" s="320"/>
      <c r="AY27" s="320"/>
      <c r="AZ27" s="306"/>
      <c r="BA27" s="306"/>
      <c r="BB27" s="306"/>
      <c r="BC27" s="306"/>
      <c r="BD27" s="306"/>
      <c r="BE27" s="306"/>
      <c r="BF27" s="306"/>
      <c r="BG27" s="306"/>
      <c r="BH27" s="309"/>
      <c r="BT27" s="385"/>
      <c r="CK27" s="386"/>
    </row>
    <row r="28" spans="1:89" x14ac:dyDescent="0.25">
      <c r="B28" s="337" t="s">
        <v>294</v>
      </c>
      <c r="C28" s="329">
        <v>3606.5786400000006</v>
      </c>
      <c r="G28" s="337" t="s">
        <v>294</v>
      </c>
      <c r="H28" s="329">
        <v>3255.6483591780825</v>
      </c>
      <c r="L28" s="337" t="s">
        <v>294</v>
      </c>
      <c r="M28" s="329">
        <v>3467.4547043835614</v>
      </c>
      <c r="Q28" s="337" t="s">
        <v>294</v>
      </c>
      <c r="R28" s="329">
        <v>3606.5786400000006</v>
      </c>
      <c r="V28" s="337" t="s">
        <v>294</v>
      </c>
      <c r="W28" s="329">
        <v>2461.3031692602744</v>
      </c>
      <c r="AA28" s="337" t="s">
        <v>294</v>
      </c>
      <c r="AB28" s="329">
        <v>2777.7989653150689</v>
      </c>
      <c r="AF28" s="337" t="s">
        <v>294</v>
      </c>
      <c r="AG28" s="329">
        <v>2422.7020578082193</v>
      </c>
      <c r="AK28" s="337" t="s">
        <v>294</v>
      </c>
      <c r="AL28" s="329">
        <v>3165.6187632328774</v>
      </c>
      <c r="AP28" s="340" t="s">
        <v>294</v>
      </c>
      <c r="AQ28" s="331">
        <v>3606.5786400000006</v>
      </c>
      <c r="AV28" s="340" t="s">
        <v>294</v>
      </c>
      <c r="AW28" s="331"/>
    </row>
    <row r="29" spans="1:89" x14ac:dyDescent="0.25">
      <c r="B29" s="337" t="s">
        <v>295</v>
      </c>
      <c r="C29" s="329">
        <v>3158.4383561643835</v>
      </c>
      <c r="G29" s="337" t="s">
        <v>295</v>
      </c>
      <c r="H29" s="329">
        <v>1836.3013698630136</v>
      </c>
      <c r="L29" s="337" t="s">
        <v>295</v>
      </c>
      <c r="M29" s="329">
        <v>1967.0460273972601</v>
      </c>
      <c r="Q29" s="337" t="s">
        <v>295</v>
      </c>
      <c r="R29" s="329">
        <v>6463.7808219178096</v>
      </c>
      <c r="V29" s="337" t="s">
        <v>295</v>
      </c>
      <c r="W29" s="329">
        <v>1345.9648328767125</v>
      </c>
      <c r="AA29" s="337" t="s">
        <v>295</v>
      </c>
      <c r="AB29" s="329">
        <v>1541.3326082191782</v>
      </c>
      <c r="AF29" s="337" t="s">
        <v>295</v>
      </c>
      <c r="AG29" s="329">
        <v>1322.1369863013699</v>
      </c>
      <c r="AK29" s="337" t="s">
        <v>295</v>
      </c>
      <c r="AL29" s="329">
        <v>1780.7275452054798</v>
      </c>
      <c r="AP29" s="340" t="s">
        <v>295</v>
      </c>
      <c r="AQ29" s="331">
        <v>2333.9023150684934</v>
      </c>
      <c r="AV29" s="340" t="s">
        <v>295</v>
      </c>
      <c r="AW29" s="331"/>
    </row>
    <row r="30" spans="1:89" x14ac:dyDescent="0.25">
      <c r="B30" s="337" t="s">
        <v>296</v>
      </c>
      <c r="C30" s="329">
        <v>3905.8951049999996</v>
      </c>
      <c r="G30" s="337" t="s">
        <v>296</v>
      </c>
      <c r="H30" s="329">
        <v>3493.7469863013698</v>
      </c>
      <c r="L30" s="337" t="s">
        <v>296</v>
      </c>
      <c r="M30" s="329">
        <v>3742.5017717260275</v>
      </c>
      <c r="Q30" s="337" t="s">
        <v>296</v>
      </c>
      <c r="R30" s="329">
        <v>3905.8951049999996</v>
      </c>
      <c r="V30" s="337" t="s">
        <v>296</v>
      </c>
      <c r="W30" s="329">
        <v>2560.832691031233</v>
      </c>
      <c r="AA30" s="337" t="s">
        <v>296</v>
      </c>
      <c r="AB30" s="329">
        <v>2932.5394203978085</v>
      </c>
      <c r="AF30" s="337" t="s">
        <v>296</v>
      </c>
      <c r="AG30" s="329">
        <v>2515.4978301369865</v>
      </c>
      <c r="AK30" s="337" t="s">
        <v>296</v>
      </c>
      <c r="AL30" s="329">
        <v>3388.01</v>
      </c>
      <c r="AP30" s="340" t="s">
        <v>296</v>
      </c>
      <c r="AQ30" s="331">
        <v>3905.8951049999996</v>
      </c>
      <c r="AV30" s="340" t="s">
        <v>296</v>
      </c>
      <c r="AW30" s="331"/>
    </row>
    <row r="31" spans="1:89" x14ac:dyDescent="0.25">
      <c r="B31" s="366" t="s">
        <v>297</v>
      </c>
      <c r="C31" s="367">
        <v>3933.8855632754658</v>
      </c>
      <c r="G31" s="366" t="s">
        <v>297</v>
      </c>
      <c r="H31" s="367">
        <v>2319.2773061834105</v>
      </c>
      <c r="L31" s="366" t="s">
        <v>297</v>
      </c>
      <c r="M31" s="367">
        <v>2478.9441227180687</v>
      </c>
      <c r="Q31" s="366" t="s">
        <v>297</v>
      </c>
      <c r="R31" s="367">
        <v>8951.7503534710413</v>
      </c>
      <c r="V31" s="366" t="s">
        <v>297</v>
      </c>
      <c r="W31" s="367">
        <v>1592.9530741338856</v>
      </c>
      <c r="AA31" s="366" t="s">
        <v>297</v>
      </c>
      <c r="AB31" s="367">
        <v>1813.0287552295242</v>
      </c>
      <c r="AF31" s="366" t="s">
        <v>297</v>
      </c>
      <c r="AG31" s="367">
        <v>1566.1117511218458</v>
      </c>
      <c r="AK31" s="366" t="s">
        <v>297</v>
      </c>
      <c r="AL31" s="367">
        <v>2095.4832638505409</v>
      </c>
      <c r="AP31" s="387" t="s">
        <v>297</v>
      </c>
      <c r="AQ31" s="388">
        <v>2636.5627591783373</v>
      </c>
      <c r="AV31" s="387" t="s">
        <v>297</v>
      </c>
      <c r="AW31" s="388"/>
    </row>
    <row r="32" spans="1:89" x14ac:dyDescent="0.25">
      <c r="B32" s="337" t="s">
        <v>298</v>
      </c>
      <c r="C32" s="368">
        <f>SUM(C28:C31)</f>
        <v>14604.79766443985</v>
      </c>
      <c r="D32" s="389">
        <f>C32/D33</f>
        <v>0.36820733285479734</v>
      </c>
      <c r="G32" s="337" t="s">
        <v>298</v>
      </c>
      <c r="H32" s="368">
        <f>SUM(H28:H31)</f>
        <v>10904.974021525877</v>
      </c>
      <c r="I32" s="389">
        <f>H32/I33</f>
        <v>0.45140623750251274</v>
      </c>
      <c r="L32" s="337" t="s">
        <v>298</v>
      </c>
      <c r="M32" s="368">
        <f>SUM(M28:M31)</f>
        <v>11655.946626224917</v>
      </c>
      <c r="N32" s="389">
        <f>M32/N33</f>
        <v>0.44664122935834732</v>
      </c>
      <c r="Q32" s="337" t="s">
        <v>298</v>
      </c>
      <c r="R32" s="368">
        <f>SUM(R28:R31)</f>
        <v>22928.004920388852</v>
      </c>
      <c r="S32" s="389">
        <f>R32/S33</f>
        <v>0.26898702570137223</v>
      </c>
      <c r="V32" s="337" t="s">
        <v>298</v>
      </c>
      <c r="W32" s="368">
        <f>SUM(W28:W31)</f>
        <v>7961.0537673021063</v>
      </c>
      <c r="X32" s="389">
        <f>W32/X33</f>
        <v>0.49273532448141405</v>
      </c>
      <c r="AA32" s="337" t="s">
        <v>298</v>
      </c>
      <c r="AB32" s="368">
        <f>SUM(AB28:AB31)</f>
        <v>9064.6997491615803</v>
      </c>
      <c r="AC32" s="389">
        <f>AB32/AC33</f>
        <v>0.48189647248219353</v>
      </c>
      <c r="AF32" s="337" t="s">
        <v>298</v>
      </c>
      <c r="AG32" s="368">
        <f>SUM(AG28:AG31)</f>
        <v>7826.4486253684208</v>
      </c>
      <c r="AH32" s="389">
        <f>AG32/AH33</f>
        <v>0.49430597582365327</v>
      </c>
      <c r="AK32" s="337" t="s">
        <v>298</v>
      </c>
      <c r="AL32" s="368">
        <f>SUM(AL28:AL31)</f>
        <v>10429.839572288898</v>
      </c>
      <c r="AM32" s="389">
        <f>AL32/AM33</f>
        <v>0.47069004270136644</v>
      </c>
      <c r="AN32" s="390"/>
      <c r="AP32" s="340" t="s">
        <v>298</v>
      </c>
      <c r="AQ32" s="371">
        <f>SUM(AQ28:AQ31)</f>
        <v>12482.938819246832</v>
      </c>
      <c r="AR32" s="391">
        <f>AQ32/AR33</f>
        <v>0.44466289586948804</v>
      </c>
      <c r="AS32" s="392"/>
      <c r="AT32" s="392"/>
      <c r="AV32" s="340" t="s">
        <v>298</v>
      </c>
      <c r="AW32" s="371">
        <f>SUM(AW28:AW31)</f>
        <v>0</v>
      </c>
      <c r="AX32" s="391">
        <f>AW32/AX33</f>
        <v>0</v>
      </c>
      <c r="AY32" s="392"/>
      <c r="BE32" s="390"/>
      <c r="BF32" s="390"/>
      <c r="BG32" s="390"/>
      <c r="BH32" s="393"/>
    </row>
    <row r="33" spans="1:74" x14ac:dyDescent="0.25">
      <c r="C33" s="329"/>
      <c r="D33" s="394">
        <f>C32+C21</f>
        <v>39664.60295943985</v>
      </c>
      <c r="H33" s="329"/>
      <c r="I33" s="394">
        <f>H32+H21</f>
        <v>24157.783201799852</v>
      </c>
      <c r="M33" s="329"/>
      <c r="N33" s="394">
        <f>M32+M21</f>
        <v>26096.889091430399</v>
      </c>
      <c r="S33" s="394">
        <f>R32+R21</f>
        <v>85238.330215388851</v>
      </c>
      <c r="X33" s="394">
        <f>W32+W21</f>
        <v>16156.856169548682</v>
      </c>
      <c r="AC33" s="394">
        <f>AB32+AB21</f>
        <v>18810.471266723223</v>
      </c>
      <c r="AH33" s="394">
        <f>AG32+AG21</f>
        <v>15833.206572765681</v>
      </c>
      <c r="AM33" s="394">
        <f>AL32+AL21</f>
        <v>22158.61527987794</v>
      </c>
      <c r="AN33" s="394"/>
      <c r="AR33" s="395">
        <f>AQ32+AQ21</f>
        <v>28072.81411424683</v>
      </c>
      <c r="AS33" s="395"/>
      <c r="AT33" s="395"/>
      <c r="AX33" s="395">
        <f>AW32+AW21</f>
        <v>4517.6646108895056</v>
      </c>
      <c r="AY33" s="395"/>
      <c r="AZ33" s="390"/>
      <c r="BA33" s="390"/>
      <c r="BB33" s="390"/>
      <c r="BC33" s="390"/>
      <c r="BD33" s="390"/>
      <c r="BE33" s="394"/>
      <c r="BF33" s="394"/>
      <c r="BG33" s="394"/>
      <c r="BH33" s="396"/>
    </row>
    <row r="34" spans="1:74" x14ac:dyDescent="0.25">
      <c r="B34" s="397" t="s">
        <v>299</v>
      </c>
      <c r="C34" s="398">
        <v>1900</v>
      </c>
      <c r="G34" s="397" t="s">
        <v>299</v>
      </c>
      <c r="H34" s="398">
        <v>1900</v>
      </c>
      <c r="L34" s="397" t="s">
        <v>299</v>
      </c>
      <c r="M34" s="398">
        <v>1900</v>
      </c>
      <c r="Q34" s="397" t="s">
        <v>299</v>
      </c>
      <c r="R34" s="398">
        <v>1900</v>
      </c>
      <c r="V34" s="397" t="s">
        <v>299</v>
      </c>
      <c r="W34" s="398">
        <v>1900</v>
      </c>
      <c r="AA34" s="397" t="s">
        <v>299</v>
      </c>
      <c r="AB34" s="398">
        <v>1900</v>
      </c>
      <c r="AF34" s="397" t="s">
        <v>299</v>
      </c>
      <c r="AG34" s="398">
        <v>1900</v>
      </c>
      <c r="AI34" s="323"/>
      <c r="AK34" s="397" t="s">
        <v>299</v>
      </c>
      <c r="AL34" s="398">
        <v>1900</v>
      </c>
      <c r="AP34" s="399" t="s">
        <v>299</v>
      </c>
      <c r="AQ34" s="400">
        <v>1900</v>
      </c>
      <c r="AV34" s="399" t="s">
        <v>299</v>
      </c>
      <c r="AW34" s="400">
        <v>1900</v>
      </c>
      <c r="AZ34" s="394"/>
      <c r="BA34" s="394"/>
      <c r="BB34" s="394"/>
      <c r="BC34" s="394"/>
      <c r="BD34" s="394"/>
    </row>
    <row r="35" spans="1:74" x14ac:dyDescent="0.25">
      <c r="A35" s="401" t="s">
        <v>300</v>
      </c>
      <c r="B35" s="402" t="s">
        <v>301</v>
      </c>
      <c r="C35" s="403">
        <f>C16+C32+C34</f>
        <v>102397.49766443984</v>
      </c>
      <c r="D35" s="323"/>
      <c r="F35" s="401" t="s">
        <v>300</v>
      </c>
      <c r="G35" s="402" t="s">
        <v>301</v>
      </c>
      <c r="H35" s="403">
        <f>H16+H32+H34</f>
        <v>63444.214021525884</v>
      </c>
      <c r="K35" s="401" t="s">
        <v>300</v>
      </c>
      <c r="L35" s="402" t="s">
        <v>301</v>
      </c>
      <c r="M35" s="403">
        <f>M16+M32+M34</f>
        <v>67681.356626224922</v>
      </c>
      <c r="P35" s="401" t="s">
        <v>300</v>
      </c>
      <c r="Q35" s="402" t="s">
        <v>301</v>
      </c>
      <c r="R35" s="403">
        <f>R16+R32+R34</f>
        <v>220281.08492038882</v>
      </c>
      <c r="U35" s="401" t="s">
        <v>300</v>
      </c>
      <c r="V35" s="402" t="s">
        <v>301</v>
      </c>
      <c r="W35" s="403">
        <f>W16+W32+W34</f>
        <v>44641.686863192517</v>
      </c>
      <c r="Z35" s="401" t="s">
        <v>300</v>
      </c>
      <c r="AA35" s="402" t="s">
        <v>301</v>
      </c>
      <c r="AB35" s="403">
        <f>AB16+AB32+AB34</f>
        <v>50550.472431028917</v>
      </c>
      <c r="AE35" s="401" t="s">
        <v>300</v>
      </c>
      <c r="AF35" s="402" t="s">
        <v>301</v>
      </c>
      <c r="AG35" s="403">
        <f>AG16+AG32+AG34</f>
        <v>43921.028625368417</v>
      </c>
      <c r="AI35" s="323"/>
      <c r="AJ35" s="401" t="s">
        <v>300</v>
      </c>
      <c r="AK35" s="402" t="s">
        <v>301</v>
      </c>
      <c r="AL35" s="403">
        <f>AL16+AL32+AL34</f>
        <v>58082.749263348742</v>
      </c>
      <c r="AO35" s="404" t="s">
        <v>300</v>
      </c>
      <c r="AP35" s="405" t="s">
        <v>301</v>
      </c>
      <c r="AQ35" s="406">
        <f>AQ16+AQ32+AQ34</f>
        <v>71949.811290389567</v>
      </c>
      <c r="AU35" s="404" t="s">
        <v>300</v>
      </c>
      <c r="AV35" s="405" t="s">
        <v>301</v>
      </c>
      <c r="AW35" s="406">
        <f>AW16+AW32+AW34</f>
        <v>26745.895386434971</v>
      </c>
      <c r="BU35" s="492" t="s">
        <v>302</v>
      </c>
      <c r="BV35" s="493"/>
    </row>
    <row r="36" spans="1:74" x14ac:dyDescent="0.25">
      <c r="S36" s="325"/>
      <c r="X36" s="325"/>
      <c r="AC36" s="325"/>
      <c r="AH36" s="325"/>
      <c r="AI36" s="323"/>
      <c r="AM36" s="325"/>
      <c r="AN36" s="325"/>
      <c r="AR36" s="328"/>
      <c r="AS36" s="328"/>
      <c r="AT36" s="328"/>
      <c r="AX36" s="328"/>
      <c r="AY36" s="328"/>
      <c r="BE36" s="325"/>
      <c r="BF36" s="325"/>
      <c r="BG36" s="325"/>
      <c r="BH36" s="407"/>
      <c r="BU36" s="408"/>
      <c r="BV36" s="409"/>
    </row>
    <row r="37" spans="1:74" x14ac:dyDescent="0.25">
      <c r="B37" s="306" t="s">
        <v>303</v>
      </c>
      <c r="C37" s="323">
        <f>14696.6496852894+12000</f>
        <v>26696.649685289398</v>
      </c>
      <c r="D37" s="323"/>
      <c r="G37" s="306" t="s">
        <v>303</v>
      </c>
      <c r="H37" s="323">
        <f>6423.97146896041+12000</f>
        <v>18423.971468960408</v>
      </c>
      <c r="I37" s="323"/>
      <c r="L37" s="306" t="s">
        <v>303</v>
      </c>
      <c r="M37" s="323">
        <f>25771.3298876093+12000</f>
        <v>37771.329887609303</v>
      </c>
      <c r="N37" s="323"/>
      <c r="Q37" s="306" t="s">
        <v>303</v>
      </c>
      <c r="R37" s="323">
        <f>29842.420288773+12000</f>
        <v>41842.420288772999</v>
      </c>
      <c r="S37" s="323"/>
      <c r="V37" s="306" t="s">
        <v>303</v>
      </c>
      <c r="W37" s="323">
        <f>6423.97146896041+12000</f>
        <v>18423.971468960408</v>
      </c>
      <c r="X37" s="323"/>
      <c r="AA37" s="306" t="s">
        <v>303</v>
      </c>
      <c r="AB37" s="323">
        <f>6423.97146896041+12000</f>
        <v>18423.971468960408</v>
      </c>
      <c r="AC37" s="323"/>
      <c r="AF37" s="306" t="s">
        <v>303</v>
      </c>
      <c r="AG37" s="323">
        <f>12000+39000</f>
        <v>51000</v>
      </c>
      <c r="AH37" s="323"/>
      <c r="AI37" s="323"/>
      <c r="AK37" s="306" t="s">
        <v>303</v>
      </c>
      <c r="AL37" s="323">
        <f>12000+39000</f>
        <v>51000</v>
      </c>
      <c r="AM37" s="323"/>
      <c r="AN37" s="323"/>
      <c r="AP37" s="320" t="s">
        <v>303</v>
      </c>
      <c r="AQ37" s="334">
        <f>12000+39000</f>
        <v>51000</v>
      </c>
      <c r="AR37" s="334">
        <f>+AQ37+AL37+AG37+AB37+W37+R37+M37+H37+C37</f>
        <v>314582.31426855293</v>
      </c>
      <c r="AS37" s="334"/>
      <c r="AT37" s="334"/>
      <c r="AV37" s="320" t="s">
        <v>303</v>
      </c>
      <c r="AW37" s="334">
        <v>41842.42</v>
      </c>
      <c r="AX37" s="410" t="s">
        <v>304</v>
      </c>
      <c r="AY37" s="334"/>
      <c r="AZ37" s="325"/>
      <c r="BA37" s="325"/>
      <c r="BB37" s="325"/>
      <c r="BC37" s="325"/>
      <c r="BD37" s="325"/>
      <c r="BE37" s="323"/>
      <c r="BF37" s="323"/>
      <c r="BG37" s="323"/>
      <c r="BH37" s="343"/>
      <c r="BU37" s="408" t="s">
        <v>305</v>
      </c>
      <c r="BV37" s="411">
        <f>+AQ37+AL37+AG37+AB37+W37+R37+M37+H37+C37</f>
        <v>314582.31426855293</v>
      </c>
    </row>
    <row r="38" spans="1:74" x14ac:dyDescent="0.25">
      <c r="B38" s="306" t="s">
        <v>306</v>
      </c>
      <c r="C38" s="323">
        <f>+C37/12</f>
        <v>2224.7208071074497</v>
      </c>
      <c r="G38" s="306" t="s">
        <v>306</v>
      </c>
      <c r="H38" s="323">
        <f>+H37/12</f>
        <v>1535.3309557467007</v>
      </c>
      <c r="L38" s="306" t="s">
        <v>306</v>
      </c>
      <c r="M38" s="323">
        <f>+M37/12</f>
        <v>3147.6108239674418</v>
      </c>
      <c r="Q38" s="306" t="s">
        <v>306</v>
      </c>
      <c r="R38" s="323">
        <f>+R37/12</f>
        <v>3486.8683573977501</v>
      </c>
      <c r="S38" s="323"/>
      <c r="V38" s="306" t="s">
        <v>306</v>
      </c>
      <c r="W38" s="323">
        <f>+W37/12</f>
        <v>1535.3309557467007</v>
      </c>
      <c r="X38" s="323"/>
      <c r="AA38" s="306" t="s">
        <v>306</v>
      </c>
      <c r="AB38" s="323">
        <f>+AB37/12</f>
        <v>1535.3309557467007</v>
      </c>
      <c r="AC38" s="323"/>
      <c r="AF38" s="306" t="s">
        <v>306</v>
      </c>
      <c r="AG38" s="323">
        <f>+AG37/12</f>
        <v>4250</v>
      </c>
      <c r="AH38" s="323"/>
      <c r="AK38" s="306" t="s">
        <v>306</v>
      </c>
      <c r="AL38" s="323">
        <f>+AL37/12</f>
        <v>4250</v>
      </c>
      <c r="AM38" s="323"/>
      <c r="AN38" s="323"/>
      <c r="AP38" s="320" t="s">
        <v>306</v>
      </c>
      <c r="AQ38" s="334">
        <f>+AQ37/12</f>
        <v>4250</v>
      </c>
      <c r="AR38" s="334">
        <v>9</v>
      </c>
      <c r="AS38" s="334"/>
      <c r="AT38" s="334"/>
      <c r="AV38" s="320" t="s">
        <v>306</v>
      </c>
      <c r="AW38" s="334">
        <f>+AW37/12</f>
        <v>3486.8683333333333</v>
      </c>
      <c r="AX38" s="334"/>
      <c r="AY38" s="334"/>
      <c r="AZ38" s="323"/>
      <c r="BA38" s="323"/>
      <c r="BB38" s="323"/>
      <c r="BC38" s="323"/>
      <c r="BD38" s="323"/>
      <c r="BE38" s="323"/>
      <c r="BF38" s="323"/>
      <c r="BG38" s="323"/>
      <c r="BH38" s="343"/>
      <c r="BU38" s="408" t="s">
        <v>307</v>
      </c>
      <c r="BV38" s="409">
        <v>9</v>
      </c>
    </row>
    <row r="39" spans="1:74" x14ac:dyDescent="0.25">
      <c r="A39" s="401" t="s">
        <v>308</v>
      </c>
      <c r="B39" s="412" t="s">
        <v>309</v>
      </c>
      <c r="C39" s="413">
        <f>+C38/2</f>
        <v>1112.3604035537248</v>
      </c>
      <c r="F39" s="401" t="s">
        <v>308</v>
      </c>
      <c r="G39" s="412" t="s">
        <v>309</v>
      </c>
      <c r="H39" s="413">
        <f>+H38/2</f>
        <v>767.66547787335037</v>
      </c>
      <c r="K39" s="401" t="s">
        <v>308</v>
      </c>
      <c r="L39" s="412" t="s">
        <v>309</v>
      </c>
      <c r="M39" s="413">
        <f>+M38/2</f>
        <v>1573.8054119837209</v>
      </c>
      <c r="P39" s="401" t="s">
        <v>308</v>
      </c>
      <c r="Q39" s="412" t="s">
        <v>309</v>
      </c>
      <c r="R39" s="413">
        <f>+R38/2</f>
        <v>1743.434178698875</v>
      </c>
      <c r="S39" s="323"/>
      <c r="U39" s="401" t="s">
        <v>308</v>
      </c>
      <c r="V39" s="412" t="s">
        <v>309</v>
      </c>
      <c r="W39" s="413">
        <f>+W38/2</f>
        <v>767.66547787335037</v>
      </c>
      <c r="X39" s="323"/>
      <c r="Z39" s="401" t="s">
        <v>308</v>
      </c>
      <c r="AA39" s="412" t="s">
        <v>309</v>
      </c>
      <c r="AB39" s="413">
        <f>+AB38/2</f>
        <v>767.66547787335037</v>
      </c>
      <c r="AC39" s="323"/>
      <c r="AE39" s="401" t="s">
        <v>308</v>
      </c>
      <c r="AF39" s="412" t="s">
        <v>309</v>
      </c>
      <c r="AG39" s="413">
        <f>+AG38/2</f>
        <v>2125</v>
      </c>
      <c r="AH39" s="323"/>
      <c r="AJ39" s="401" t="s">
        <v>308</v>
      </c>
      <c r="AK39" s="412" t="s">
        <v>309</v>
      </c>
      <c r="AL39" s="413">
        <f>+AL38/2</f>
        <v>2125</v>
      </c>
      <c r="AM39" s="323"/>
      <c r="AN39" s="323"/>
      <c r="AO39" s="404" t="s">
        <v>308</v>
      </c>
      <c r="AP39" s="414" t="s">
        <v>309</v>
      </c>
      <c r="AQ39" s="415">
        <f>+AQ38/2</f>
        <v>2125</v>
      </c>
      <c r="AR39" s="334">
        <f>+AR37/9</f>
        <v>34953.590474283657</v>
      </c>
      <c r="AS39" s="334"/>
      <c r="AT39" s="334"/>
      <c r="AU39" s="404" t="s">
        <v>308</v>
      </c>
      <c r="AV39" s="414" t="s">
        <v>309</v>
      </c>
      <c r="AW39" s="415">
        <f>+AW38/2</f>
        <v>1743.4341666666667</v>
      </c>
      <c r="AX39" s="334"/>
      <c r="AY39" s="334"/>
      <c r="AZ39" s="323"/>
      <c r="BA39" s="323"/>
      <c r="BB39" s="323"/>
      <c r="BC39" s="323"/>
      <c r="BD39" s="323"/>
      <c r="BE39" s="323"/>
      <c r="BF39" s="323"/>
      <c r="BG39" s="323"/>
      <c r="BH39" s="343"/>
      <c r="BU39" s="416" t="s">
        <v>310</v>
      </c>
      <c r="BV39" s="417">
        <f>+BV37/BV38</f>
        <v>34953.590474283657</v>
      </c>
    </row>
    <row r="40" spans="1:74" x14ac:dyDescent="0.25">
      <c r="S40" s="325"/>
      <c r="X40" s="325"/>
      <c r="AC40" s="325"/>
      <c r="AH40" s="325"/>
      <c r="AM40" s="325"/>
      <c r="AN40" s="325"/>
      <c r="AR40" s="328"/>
      <c r="AS40" s="328"/>
      <c r="AT40" s="328"/>
      <c r="AX40" s="328"/>
      <c r="AY40" s="328"/>
      <c r="AZ40" s="323"/>
      <c r="BA40" s="323"/>
      <c r="BB40" s="323"/>
      <c r="BC40" s="323"/>
      <c r="BD40" s="323"/>
      <c r="BE40" s="325"/>
      <c r="BF40" s="325"/>
      <c r="BG40" s="325"/>
      <c r="BH40" s="407"/>
    </row>
    <row r="41" spans="1:74" x14ac:dyDescent="0.25">
      <c r="B41" s="306" t="s">
        <v>311</v>
      </c>
      <c r="C41" s="323">
        <v>3000</v>
      </c>
      <c r="D41" s="323"/>
      <c r="G41" s="306" t="s">
        <v>311</v>
      </c>
      <c r="H41" s="323">
        <v>3000</v>
      </c>
      <c r="I41" s="323"/>
      <c r="L41" s="306" t="s">
        <v>311</v>
      </c>
      <c r="M41" s="323">
        <v>3000</v>
      </c>
      <c r="N41" s="323"/>
      <c r="Q41" s="306" t="s">
        <v>311</v>
      </c>
      <c r="R41" s="323">
        <v>3000</v>
      </c>
      <c r="S41" s="323"/>
      <c r="V41" s="306" t="s">
        <v>311</v>
      </c>
      <c r="W41" s="323">
        <v>3000</v>
      </c>
      <c r="X41" s="323"/>
      <c r="AA41" s="306" t="s">
        <v>311</v>
      </c>
      <c r="AB41" s="323">
        <v>3000</v>
      </c>
      <c r="AC41" s="323"/>
      <c r="AF41" s="306" t="s">
        <v>311</v>
      </c>
      <c r="AG41" s="323">
        <v>3000</v>
      </c>
      <c r="AH41" s="323"/>
      <c r="AI41" s="323"/>
      <c r="AK41" s="306" t="s">
        <v>311</v>
      </c>
      <c r="AL41" s="323">
        <v>3000</v>
      </c>
      <c r="AM41" s="323"/>
      <c r="AN41" s="323"/>
      <c r="AP41" s="320" t="s">
        <v>311</v>
      </c>
      <c r="AQ41" s="334">
        <v>3000</v>
      </c>
      <c r="AR41" s="334"/>
      <c r="AS41" s="334"/>
      <c r="AT41" s="334"/>
      <c r="AV41" s="320" t="s">
        <v>311</v>
      </c>
      <c r="AW41" s="334">
        <v>3000</v>
      </c>
      <c r="AX41" s="410" t="s">
        <v>312</v>
      </c>
      <c r="AY41" s="334"/>
      <c r="AZ41" s="325"/>
      <c r="BA41" s="325"/>
      <c r="BB41" s="325"/>
      <c r="BC41" s="325"/>
      <c r="BD41" s="325"/>
      <c r="BE41" s="323"/>
      <c r="BF41" s="323"/>
      <c r="BG41" s="323"/>
      <c r="BH41" s="343"/>
    </row>
    <row r="42" spans="1:74" x14ac:dyDescent="0.25">
      <c r="B42" s="306" t="s">
        <v>313</v>
      </c>
      <c r="C42" s="323">
        <f>+C41/12</f>
        <v>250</v>
      </c>
      <c r="D42" s="336"/>
      <c r="G42" s="306" t="s">
        <v>313</v>
      </c>
      <c r="H42" s="323">
        <f>+H41/12</f>
        <v>250</v>
      </c>
      <c r="L42" s="306" t="s">
        <v>313</v>
      </c>
      <c r="M42" s="323">
        <f>+M41/12</f>
        <v>250</v>
      </c>
      <c r="Q42" s="306" t="s">
        <v>313</v>
      </c>
      <c r="R42" s="323">
        <f>+R41/12</f>
        <v>250</v>
      </c>
      <c r="S42" s="323"/>
      <c r="V42" s="306" t="s">
        <v>313</v>
      </c>
      <c r="W42" s="323">
        <f>+W41/12</f>
        <v>250</v>
      </c>
      <c r="X42" s="323"/>
      <c r="AA42" s="306" t="s">
        <v>313</v>
      </c>
      <c r="AB42" s="323">
        <f>+AB41/12</f>
        <v>250</v>
      </c>
      <c r="AC42" s="323"/>
      <c r="AF42" s="306" t="s">
        <v>313</v>
      </c>
      <c r="AG42" s="323">
        <f>+AG41/12</f>
        <v>250</v>
      </c>
      <c r="AH42" s="323"/>
      <c r="AK42" s="306" t="s">
        <v>313</v>
      </c>
      <c r="AL42" s="323">
        <f>+AL41/12</f>
        <v>250</v>
      </c>
      <c r="AM42" s="323"/>
      <c r="AN42" s="323"/>
      <c r="AP42" s="320" t="s">
        <v>313</v>
      </c>
      <c r="AQ42" s="334">
        <f>+AQ41/12</f>
        <v>250</v>
      </c>
      <c r="AR42" s="334"/>
      <c r="AS42" s="334"/>
      <c r="AT42" s="334"/>
      <c r="AV42" s="320" t="s">
        <v>313</v>
      </c>
      <c r="AW42" s="334">
        <f>+AW41/12</f>
        <v>250</v>
      </c>
      <c r="AX42" s="334"/>
      <c r="AY42" s="334"/>
      <c r="AZ42" s="323"/>
      <c r="BA42" s="323"/>
      <c r="BB42" s="323"/>
      <c r="BC42" s="323"/>
      <c r="BD42" s="323"/>
      <c r="BE42" s="323"/>
      <c r="BF42" s="323"/>
      <c r="BG42" s="323"/>
      <c r="BH42" s="343"/>
      <c r="BV42" s="362"/>
    </row>
    <row r="43" spans="1:74" x14ac:dyDescent="0.25">
      <c r="A43" s="401" t="s">
        <v>314</v>
      </c>
      <c r="B43" s="412" t="s">
        <v>315</v>
      </c>
      <c r="C43" s="413">
        <f>+C42/2</f>
        <v>125</v>
      </c>
      <c r="F43" s="401" t="s">
        <v>314</v>
      </c>
      <c r="G43" s="412" t="s">
        <v>315</v>
      </c>
      <c r="H43" s="413">
        <f>+H42/2</f>
        <v>125</v>
      </c>
      <c r="K43" s="401" t="s">
        <v>314</v>
      </c>
      <c r="L43" s="412" t="s">
        <v>315</v>
      </c>
      <c r="M43" s="413">
        <f>+M42/2</f>
        <v>125</v>
      </c>
      <c r="P43" s="401" t="s">
        <v>314</v>
      </c>
      <c r="Q43" s="412" t="s">
        <v>315</v>
      </c>
      <c r="R43" s="413">
        <f>+R42/2</f>
        <v>125</v>
      </c>
      <c r="S43" s="323"/>
      <c r="U43" s="401" t="s">
        <v>314</v>
      </c>
      <c r="V43" s="412" t="s">
        <v>315</v>
      </c>
      <c r="W43" s="413">
        <f>+W42/2</f>
        <v>125</v>
      </c>
      <c r="X43" s="323"/>
      <c r="Z43" s="401" t="s">
        <v>314</v>
      </c>
      <c r="AA43" s="412" t="s">
        <v>315</v>
      </c>
      <c r="AB43" s="413">
        <f>+AB42/2</f>
        <v>125</v>
      </c>
      <c r="AC43" s="323"/>
      <c r="AE43" s="401" t="s">
        <v>314</v>
      </c>
      <c r="AF43" s="412" t="s">
        <v>315</v>
      </c>
      <c r="AG43" s="413">
        <f>+AG42/2</f>
        <v>125</v>
      </c>
      <c r="AH43" s="323"/>
      <c r="AJ43" s="401" t="s">
        <v>314</v>
      </c>
      <c r="AK43" s="412" t="s">
        <v>315</v>
      </c>
      <c r="AL43" s="413">
        <f>+AL42/2</f>
        <v>125</v>
      </c>
      <c r="AM43" s="323"/>
      <c r="AN43" s="323"/>
      <c r="AO43" s="404" t="s">
        <v>314</v>
      </c>
      <c r="AP43" s="414" t="s">
        <v>315</v>
      </c>
      <c r="AQ43" s="415">
        <f>+AQ42/2</f>
        <v>125</v>
      </c>
      <c r="AR43" s="334"/>
      <c r="AS43" s="334"/>
      <c r="AT43" s="334"/>
      <c r="AU43" s="404" t="s">
        <v>314</v>
      </c>
      <c r="AV43" s="414" t="s">
        <v>315</v>
      </c>
      <c r="AW43" s="415">
        <f>+AW42/2</f>
        <v>125</v>
      </c>
      <c r="AX43" s="334"/>
      <c r="AY43" s="334"/>
      <c r="AZ43" s="323"/>
      <c r="BA43" s="323"/>
      <c r="BB43" s="323"/>
      <c r="BC43" s="323"/>
      <c r="BD43" s="323"/>
      <c r="BE43" s="323"/>
      <c r="BF43" s="323"/>
      <c r="BG43" s="323"/>
      <c r="BH43" s="343"/>
      <c r="BU43" s="492" t="s">
        <v>316</v>
      </c>
      <c r="BV43" s="493"/>
    </row>
    <row r="44" spans="1:74" x14ac:dyDescent="0.25">
      <c r="C44" s="323"/>
      <c r="H44" s="323"/>
      <c r="M44" s="323"/>
      <c r="R44" s="323"/>
      <c r="W44" s="323"/>
      <c r="AB44" s="323"/>
      <c r="AG44" s="323"/>
      <c r="AL44" s="323"/>
      <c r="AQ44" s="334"/>
      <c r="AW44" s="334"/>
      <c r="AZ44" s="323"/>
      <c r="BA44" s="323"/>
      <c r="BB44" s="323"/>
      <c r="BC44" s="323"/>
      <c r="BD44" s="323"/>
      <c r="BU44" s="408" t="s">
        <v>317</v>
      </c>
      <c r="BV44" s="418">
        <v>17</v>
      </c>
    </row>
    <row r="45" spans="1:74" x14ac:dyDescent="0.25">
      <c r="C45" s="323"/>
      <c r="H45" s="323"/>
      <c r="M45" s="323"/>
      <c r="R45" s="323"/>
      <c r="W45" s="323"/>
      <c r="AB45" s="323"/>
      <c r="AG45" s="323"/>
      <c r="AL45" s="323"/>
      <c r="AQ45" s="334"/>
      <c r="AW45" s="334"/>
      <c r="AZ45" s="323"/>
      <c r="BA45" s="323"/>
      <c r="BB45" s="323"/>
      <c r="BC45" s="323"/>
      <c r="BD45" s="323"/>
      <c r="BU45" s="408"/>
      <c r="BV45" s="418"/>
    </row>
    <row r="46" spans="1:74" x14ac:dyDescent="0.25">
      <c r="C46" s="323"/>
      <c r="H46" s="323"/>
      <c r="M46" s="323"/>
      <c r="R46" s="323"/>
      <c r="W46" s="323"/>
      <c r="AB46" s="323"/>
      <c r="AG46" s="323"/>
      <c r="AL46" s="323"/>
      <c r="AQ46" s="334"/>
      <c r="AU46" s="404" t="s">
        <v>318</v>
      </c>
      <c r="AV46" s="320" t="s">
        <v>319</v>
      </c>
      <c r="AW46" s="334">
        <f>+AW39+AW35+AW43</f>
        <v>28614.329553101637</v>
      </c>
      <c r="AZ46" s="323"/>
      <c r="BA46" s="323"/>
      <c r="BB46" s="323"/>
      <c r="BC46" s="323"/>
      <c r="BD46" s="323"/>
      <c r="BU46" s="408"/>
      <c r="BV46" s="418"/>
    </row>
    <row r="47" spans="1:74" x14ac:dyDescent="0.25">
      <c r="C47" s="323"/>
      <c r="H47" s="323"/>
      <c r="M47" s="323"/>
      <c r="R47" s="323"/>
      <c r="W47" s="323"/>
      <c r="AB47" s="323"/>
      <c r="AG47" s="323"/>
      <c r="AL47" s="323"/>
      <c r="AQ47" s="334"/>
      <c r="AV47" s="320" t="s">
        <v>321</v>
      </c>
      <c r="AW47" s="334">
        <f>+AW46*AX47</f>
        <v>3147.5762508411804</v>
      </c>
      <c r="AX47" s="438">
        <v>0.11</v>
      </c>
      <c r="AZ47" s="323"/>
      <c r="BA47" s="323"/>
      <c r="BB47" s="323"/>
      <c r="BC47" s="323"/>
      <c r="BD47" s="323"/>
      <c r="BU47" s="408"/>
      <c r="BV47" s="418"/>
    </row>
    <row r="48" spans="1:74" x14ac:dyDescent="0.25">
      <c r="C48" s="323"/>
      <c r="H48" s="323"/>
      <c r="M48" s="323"/>
      <c r="R48" s="323"/>
      <c r="W48" s="323"/>
      <c r="AB48" s="323"/>
      <c r="AG48" s="323"/>
      <c r="AL48" s="323"/>
      <c r="AQ48" s="334"/>
      <c r="AV48" s="427" t="s">
        <v>323</v>
      </c>
      <c r="AW48" s="428">
        <f>AW46+AW47</f>
        <v>31761.905803942816</v>
      </c>
      <c r="AZ48" s="323"/>
      <c r="BA48" s="323"/>
      <c r="BB48" s="323"/>
      <c r="BC48" s="323"/>
      <c r="BD48" s="323"/>
      <c r="BU48" s="408"/>
      <c r="BV48" s="418"/>
    </row>
    <row r="49" spans="1:86" x14ac:dyDescent="0.25">
      <c r="C49" s="323"/>
      <c r="H49" s="323"/>
      <c r="M49" s="323"/>
      <c r="R49" s="323"/>
      <c r="W49" s="323"/>
      <c r="AB49" s="323"/>
      <c r="AG49" s="323"/>
      <c r="AL49" s="323"/>
      <c r="AQ49" s="334"/>
      <c r="AZ49" s="323"/>
      <c r="BA49" s="323"/>
      <c r="BB49" s="323"/>
      <c r="BC49" s="323"/>
      <c r="BD49" s="323"/>
      <c r="BU49" s="408"/>
      <c r="BV49" s="418"/>
    </row>
    <row r="50" spans="1:86" x14ac:dyDescent="0.25">
      <c r="C50" s="323"/>
      <c r="H50" s="323"/>
      <c r="M50" s="323"/>
      <c r="R50" s="323"/>
      <c r="W50" s="323"/>
      <c r="AB50" s="323"/>
      <c r="AG50" s="323"/>
      <c r="AL50" s="323"/>
      <c r="AQ50" s="334"/>
      <c r="AZ50" s="323"/>
      <c r="BA50" s="323"/>
      <c r="BB50" s="323"/>
      <c r="BC50" s="323"/>
      <c r="BD50" s="323"/>
      <c r="BU50" s="408"/>
      <c r="BV50" s="418"/>
    </row>
    <row r="51" spans="1:86" x14ac:dyDescent="0.25">
      <c r="C51" s="323"/>
      <c r="H51" s="323"/>
      <c r="M51" s="323"/>
      <c r="R51" s="323"/>
      <c r="W51" s="323"/>
      <c r="AB51" s="323"/>
      <c r="AG51" s="323"/>
      <c r="AL51" s="323"/>
      <c r="AQ51" s="334"/>
      <c r="AW51" s="432"/>
      <c r="AZ51" s="323"/>
      <c r="BA51" s="323"/>
      <c r="BB51" s="323"/>
      <c r="BC51" s="323"/>
      <c r="BD51" s="323"/>
      <c r="BU51" s="408"/>
      <c r="BV51" s="418"/>
    </row>
    <row r="52" spans="1:86" x14ac:dyDescent="0.25">
      <c r="C52" s="323"/>
      <c r="H52" s="323"/>
      <c r="M52" s="323"/>
      <c r="R52" s="323"/>
      <c r="W52" s="323"/>
      <c r="AB52" s="323"/>
      <c r="AG52" s="323"/>
      <c r="AL52" s="323"/>
      <c r="AQ52" s="334"/>
      <c r="AZ52" s="323"/>
      <c r="BA52" s="323"/>
      <c r="BB52" s="323"/>
      <c r="BC52" s="323"/>
      <c r="BD52" s="323"/>
      <c r="BU52" s="408"/>
      <c r="BV52" s="418"/>
    </row>
    <row r="53" spans="1:86" x14ac:dyDescent="0.25">
      <c r="A53" s="401" t="s">
        <v>318</v>
      </c>
      <c r="B53" s="306" t="s">
        <v>319</v>
      </c>
      <c r="C53" s="323">
        <f>+C39+C35+C43</f>
        <v>103634.85806799357</v>
      </c>
      <c r="D53" s="323"/>
      <c r="F53" s="401" t="s">
        <v>318</v>
      </c>
      <c r="G53" s="306" t="s">
        <v>319</v>
      </c>
      <c r="H53" s="323">
        <f>+H39+H35+H43</f>
        <v>64336.879499399234</v>
      </c>
      <c r="I53" s="323"/>
      <c r="K53" s="401" t="s">
        <v>318</v>
      </c>
      <c r="L53" s="306" t="s">
        <v>319</v>
      </c>
      <c r="M53" s="323">
        <f>+M39+M35+M43</f>
        <v>69380.16203820864</v>
      </c>
      <c r="N53" s="323"/>
      <c r="P53" s="401" t="s">
        <v>318</v>
      </c>
      <c r="Q53" s="306" t="s">
        <v>319</v>
      </c>
      <c r="R53" s="323">
        <f>+R39+R35+R43</f>
        <v>222149.51909908769</v>
      </c>
      <c r="U53" s="401" t="s">
        <v>318</v>
      </c>
      <c r="V53" s="306" t="s">
        <v>319</v>
      </c>
      <c r="W53" s="323">
        <f>+W39+W35+W43</f>
        <v>45534.352341065867</v>
      </c>
      <c r="Z53" s="401" t="s">
        <v>318</v>
      </c>
      <c r="AA53" s="306" t="s">
        <v>319</v>
      </c>
      <c r="AB53" s="323">
        <f>+AB39+AB35+AB43</f>
        <v>51443.137908902267</v>
      </c>
      <c r="AE53" s="401" t="s">
        <v>318</v>
      </c>
      <c r="AF53" s="306" t="s">
        <v>319</v>
      </c>
      <c r="AG53" s="323">
        <f>+AG39+AG35+AG43</f>
        <v>46171.028625368417</v>
      </c>
      <c r="AJ53" s="401" t="s">
        <v>318</v>
      </c>
      <c r="AK53" s="306" t="s">
        <v>319</v>
      </c>
      <c r="AL53" s="323">
        <f>+AL39+AL35+AL43</f>
        <v>60332.749263348742</v>
      </c>
      <c r="AO53" s="404" t="s">
        <v>318</v>
      </c>
      <c r="AP53" s="320" t="s">
        <v>319</v>
      </c>
      <c r="AQ53" s="334">
        <f>+AQ39+AQ35+AQ43</f>
        <v>74199.811290389567</v>
      </c>
      <c r="BU53" s="419" t="s">
        <v>320</v>
      </c>
      <c r="BV53" s="420">
        <v>40000</v>
      </c>
    </row>
    <row r="54" spans="1:86" x14ac:dyDescent="0.25">
      <c r="B54" s="306" t="s">
        <v>321</v>
      </c>
      <c r="C54" s="323">
        <f>C53*D54</f>
        <v>11399.834387479294</v>
      </c>
      <c r="D54" s="421">
        <v>0.11</v>
      </c>
      <c r="G54" s="306" t="s">
        <v>321</v>
      </c>
      <c r="H54" s="323">
        <f>H53*I54</f>
        <v>7077.056744933916</v>
      </c>
      <c r="I54" s="421">
        <f>D54</f>
        <v>0.11</v>
      </c>
      <c r="L54" s="306" t="s">
        <v>321</v>
      </c>
      <c r="M54" s="323">
        <f>M53*N54</f>
        <v>7631.8178242029508</v>
      </c>
      <c r="N54" s="421">
        <f>I54</f>
        <v>0.11</v>
      </c>
      <c r="Q54" s="306" t="s">
        <v>321</v>
      </c>
      <c r="R54" s="323">
        <f>R53*S54</f>
        <v>24436.447100899644</v>
      </c>
      <c r="S54" s="421">
        <v>0.11</v>
      </c>
      <c r="V54" s="306" t="s">
        <v>321</v>
      </c>
      <c r="W54" s="323">
        <f>W53*X54</f>
        <v>5919.4658043385625</v>
      </c>
      <c r="X54" s="421">
        <v>0.13</v>
      </c>
      <c r="AA54" s="306" t="s">
        <v>321</v>
      </c>
      <c r="AB54" s="323">
        <f>AB53*AC54</f>
        <v>6687.6079281572947</v>
      </c>
      <c r="AC54" s="421">
        <v>0.13</v>
      </c>
      <c r="AF54" s="306" t="s">
        <v>321</v>
      </c>
      <c r="AG54" s="323">
        <f>AG53*AH54</f>
        <v>6002.2337212978946</v>
      </c>
      <c r="AH54" s="421">
        <v>0.13</v>
      </c>
      <c r="AK54" s="306" t="s">
        <v>321</v>
      </c>
      <c r="AL54" s="323">
        <f>AL53*AM54</f>
        <v>7843.2574042353363</v>
      </c>
      <c r="AM54" s="421">
        <v>0.13</v>
      </c>
      <c r="AN54" s="422"/>
      <c r="AP54" s="320" t="s">
        <v>321</v>
      </c>
      <c r="AQ54" s="334">
        <f>AQ53*AR54</f>
        <v>9645.9754677506444</v>
      </c>
      <c r="AR54" s="423">
        <v>0.13</v>
      </c>
      <c r="AS54" s="423"/>
      <c r="AT54" s="423"/>
      <c r="AX54" s="423"/>
      <c r="AY54" s="423"/>
      <c r="BE54" s="421"/>
      <c r="BF54" s="421"/>
      <c r="BG54" s="421"/>
      <c r="BH54" s="424"/>
      <c r="BU54" s="408" t="s">
        <v>322</v>
      </c>
      <c r="BV54" s="418">
        <f>+BV53*BV44</f>
        <v>680000</v>
      </c>
    </row>
    <row r="55" spans="1:86" x14ac:dyDescent="0.25">
      <c r="B55" s="425" t="s">
        <v>323</v>
      </c>
      <c r="C55" s="426">
        <f>C53+C54</f>
        <v>115034.69245547286</v>
      </c>
      <c r="G55" s="425" t="s">
        <v>323</v>
      </c>
      <c r="H55" s="426">
        <f>H53+H54</f>
        <v>71413.936244333148</v>
      </c>
      <c r="L55" s="425" t="s">
        <v>323</v>
      </c>
      <c r="M55" s="426">
        <f>M53+M54</f>
        <v>77011.979862411594</v>
      </c>
      <c r="Q55" s="425" t="s">
        <v>323</v>
      </c>
      <c r="R55" s="426">
        <f>R53+R54</f>
        <v>246585.96619998734</v>
      </c>
      <c r="V55" s="425" t="s">
        <v>323</v>
      </c>
      <c r="W55" s="426">
        <f>W53+W54</f>
        <v>51453.818145404432</v>
      </c>
      <c r="AA55" s="425" t="s">
        <v>323</v>
      </c>
      <c r="AB55" s="426">
        <f>AB53+AB54</f>
        <v>58130.745837059563</v>
      </c>
      <c r="AF55" s="425" t="s">
        <v>323</v>
      </c>
      <c r="AG55" s="426">
        <f>AG53+AG54</f>
        <v>52173.262346666314</v>
      </c>
      <c r="AK55" s="425" t="s">
        <v>323</v>
      </c>
      <c r="AL55" s="426">
        <f>AL53+AL54</f>
        <v>68176.006667584079</v>
      </c>
      <c r="AP55" s="427" t="s">
        <v>323</v>
      </c>
      <c r="AQ55" s="428">
        <f>AQ53+AQ54</f>
        <v>83845.78675814021</v>
      </c>
      <c r="AX55" s="429"/>
      <c r="AZ55" s="421"/>
      <c r="BA55" s="421"/>
      <c r="BB55" s="421"/>
      <c r="BC55" s="421"/>
      <c r="BD55" s="421"/>
      <c r="BU55" s="430" t="s">
        <v>324</v>
      </c>
      <c r="BV55" s="431">
        <f>+BV54/26</f>
        <v>26153.846153846152</v>
      </c>
    </row>
    <row r="56" spans="1:86" x14ac:dyDescent="0.25">
      <c r="AZ56" s="323"/>
      <c r="BV56" s="362"/>
    </row>
    <row r="57" spans="1:86" x14ac:dyDescent="0.25">
      <c r="AZ57" s="323"/>
      <c r="BV57" s="362"/>
    </row>
    <row r="58" spans="1:86" x14ac:dyDescent="0.25">
      <c r="W58" s="306" t="s">
        <v>325</v>
      </c>
      <c r="AB58" s="306" t="s">
        <v>325</v>
      </c>
      <c r="AG58" s="306" t="s">
        <v>325</v>
      </c>
    </row>
    <row r="59" spans="1:86" x14ac:dyDescent="0.25">
      <c r="W59" s="306" t="s">
        <v>321</v>
      </c>
      <c r="AB59" s="306" t="s">
        <v>321</v>
      </c>
      <c r="AG59" s="306" t="s">
        <v>321</v>
      </c>
    </row>
    <row r="60" spans="1:86" x14ac:dyDescent="0.25">
      <c r="W60" s="306" t="s">
        <v>326</v>
      </c>
      <c r="AB60" s="306" t="s">
        <v>326</v>
      </c>
      <c r="AG60" s="306" t="s">
        <v>326</v>
      </c>
    </row>
    <row r="63" spans="1:86" x14ac:dyDescent="0.25">
      <c r="CH63" s="306" t="s">
        <v>135</v>
      </c>
    </row>
    <row r="67" spans="1:19" x14ac:dyDescent="0.25">
      <c r="B67" s="433"/>
      <c r="C67" s="434">
        <f>C55/D67</f>
        <v>6320.5874975534543</v>
      </c>
      <c r="D67" s="312">
        <v>18.2</v>
      </c>
      <c r="G67" s="433"/>
      <c r="H67" s="434">
        <f>H55/I67</f>
        <v>3923.8426507875356</v>
      </c>
      <c r="I67" s="312">
        <f>D67</f>
        <v>18.2</v>
      </c>
      <c r="L67" s="433"/>
      <c r="M67" s="434">
        <f>M55/N67</f>
        <v>4231.4274649676699</v>
      </c>
      <c r="N67" s="312">
        <f>I67</f>
        <v>18.2</v>
      </c>
      <c r="Q67" s="433"/>
      <c r="R67" s="434">
        <f>R55/S67</f>
        <v>13548.679461537766</v>
      </c>
      <c r="S67" s="312">
        <f>N67</f>
        <v>18.2</v>
      </c>
    </row>
    <row r="68" spans="1:19" x14ac:dyDescent="0.25">
      <c r="A68" s="435"/>
      <c r="B68" s="494"/>
      <c r="C68" s="495"/>
      <c r="D68" s="495"/>
      <c r="E68" s="435"/>
      <c r="F68" s="435"/>
      <c r="G68" s="494"/>
      <c r="H68" s="495"/>
      <c r="I68" s="495"/>
      <c r="J68" s="435"/>
      <c r="K68" s="435"/>
      <c r="L68" s="494"/>
      <c r="M68" s="495"/>
      <c r="N68" s="495"/>
      <c r="O68" s="435"/>
      <c r="P68" s="435"/>
      <c r="Q68" s="494"/>
      <c r="R68" s="495"/>
      <c r="S68" s="495"/>
    </row>
    <row r="69" spans="1:19" x14ac:dyDescent="0.25">
      <c r="A69" s="436" t="s">
        <v>327</v>
      </c>
      <c r="Q69" s="325"/>
      <c r="R69" s="434"/>
      <c r="S69" s="325"/>
    </row>
    <row r="70" spans="1:19" x14ac:dyDescent="0.25">
      <c r="A70" s="436"/>
      <c r="Q70" s="325"/>
      <c r="R70" s="434"/>
      <c r="S70" s="325"/>
    </row>
    <row r="71" spans="1:19" x14ac:dyDescent="0.25">
      <c r="A71" s="436"/>
      <c r="Q71" s="325"/>
      <c r="R71" s="434"/>
      <c r="S71" s="325"/>
    </row>
    <row r="72" spans="1:19" x14ac:dyDescent="0.25">
      <c r="A72" s="436"/>
      <c r="Q72" s="325"/>
      <c r="R72" s="434"/>
      <c r="S72" s="325"/>
    </row>
    <row r="73" spans="1:19" x14ac:dyDescent="0.25">
      <c r="A73" s="436"/>
      <c r="Q73" s="325"/>
      <c r="R73" s="434"/>
      <c r="S73" s="325"/>
    </row>
    <row r="74" spans="1:19" x14ac:dyDescent="0.25">
      <c r="A74" s="436"/>
      <c r="Q74" s="325"/>
      <c r="R74" s="434"/>
      <c r="S74" s="325"/>
    </row>
    <row r="75" spans="1:19" x14ac:dyDescent="0.25">
      <c r="A75" s="436"/>
      <c r="Q75" s="325"/>
      <c r="R75" s="434"/>
      <c r="S75" s="325"/>
    </row>
    <row r="76" spans="1:19" x14ac:dyDescent="0.25">
      <c r="A76" s="436"/>
      <c r="Q76" s="325"/>
      <c r="R76" s="434"/>
      <c r="S76" s="325"/>
    </row>
    <row r="77" spans="1:19" x14ac:dyDescent="0.25">
      <c r="A77" s="436"/>
      <c r="Q77" s="325"/>
      <c r="R77" s="434"/>
      <c r="S77" s="325"/>
    </row>
    <row r="78" spans="1:19" x14ac:dyDescent="0.25">
      <c r="A78" s="436"/>
      <c r="Q78" s="325"/>
      <c r="R78" s="434"/>
      <c r="S78" s="325"/>
    </row>
    <row r="79" spans="1:19" x14ac:dyDescent="0.25">
      <c r="B79" s="306" t="s">
        <v>328</v>
      </c>
      <c r="G79" s="306" t="s">
        <v>329</v>
      </c>
      <c r="L79" s="306" t="s">
        <v>330</v>
      </c>
      <c r="Q79" s="306" t="s">
        <v>331</v>
      </c>
    </row>
    <row r="80" spans="1:19" x14ac:dyDescent="0.25">
      <c r="B80" s="306" t="s">
        <v>332</v>
      </c>
      <c r="C80" s="323">
        <f>C16+C34</f>
        <v>87792.7</v>
      </c>
      <c r="G80" s="306" t="s">
        <v>325</v>
      </c>
      <c r="H80" s="323">
        <f>H16+H34</f>
        <v>52539.240000000005</v>
      </c>
      <c r="L80" s="306" t="s">
        <v>325</v>
      </c>
      <c r="M80" s="323">
        <f>M16+M34</f>
        <v>56025.41</v>
      </c>
      <c r="Q80" s="306" t="s">
        <v>325</v>
      </c>
      <c r="R80" s="323">
        <f>R16+R34</f>
        <v>197353.07999999996</v>
      </c>
    </row>
    <row r="81" spans="2:19" x14ac:dyDescent="0.25">
      <c r="B81" s="306" t="s">
        <v>333</v>
      </c>
      <c r="C81" s="323">
        <f>C32+C39+C43</f>
        <v>15842.158067993574</v>
      </c>
      <c r="G81" s="306" t="s">
        <v>333</v>
      </c>
      <c r="H81" s="323">
        <f>H32+H39+H43</f>
        <v>11797.639499399227</v>
      </c>
      <c r="L81" s="306" t="s">
        <v>333</v>
      </c>
      <c r="M81" s="323">
        <f>M32+M39+M43</f>
        <v>13354.752038208639</v>
      </c>
      <c r="Q81" s="306" t="s">
        <v>333</v>
      </c>
      <c r="R81" s="323">
        <f>R32+R39+R43</f>
        <v>24796.439099087725</v>
      </c>
    </row>
    <row r="82" spans="2:19" x14ac:dyDescent="0.25">
      <c r="B82" s="306" t="s">
        <v>321</v>
      </c>
      <c r="C82" s="323">
        <f>C54</f>
        <v>11399.834387479294</v>
      </c>
      <c r="G82" s="306" t="s">
        <v>321</v>
      </c>
      <c r="H82" s="323">
        <f>H54</f>
        <v>7077.056744933916</v>
      </c>
      <c r="L82" s="306" t="s">
        <v>321</v>
      </c>
      <c r="M82" s="323">
        <f>M54</f>
        <v>7631.8178242029508</v>
      </c>
      <c r="Q82" s="306" t="s">
        <v>321</v>
      </c>
      <c r="R82" s="323">
        <f>R54</f>
        <v>24436.447100899644</v>
      </c>
    </row>
    <row r="83" spans="2:19" x14ac:dyDescent="0.25">
      <c r="B83" s="306" t="s">
        <v>326</v>
      </c>
      <c r="C83" s="323">
        <f>SUM(C80:C82)</f>
        <v>115034.69245547286</v>
      </c>
      <c r="G83" s="306" t="s">
        <v>326</v>
      </c>
      <c r="H83" s="323">
        <f>SUM(H80:H82)</f>
        <v>71413.936244333148</v>
      </c>
      <c r="L83" s="306" t="s">
        <v>326</v>
      </c>
      <c r="M83" s="323">
        <f>SUM(M80:M82)</f>
        <v>77011.979862411594</v>
      </c>
      <c r="Q83" s="306" t="s">
        <v>326</v>
      </c>
      <c r="R83" s="323">
        <f>SUM(R80:R82)</f>
        <v>246585.96619998734</v>
      </c>
    </row>
    <row r="84" spans="2:19" x14ac:dyDescent="0.25">
      <c r="C84" s="323">
        <f>C55-C83</f>
        <v>0</v>
      </c>
      <c r="H84" s="323">
        <f>H55-H83</f>
        <v>0</v>
      </c>
      <c r="M84" s="323">
        <f>M55-M83</f>
        <v>0</v>
      </c>
      <c r="R84" s="323">
        <f>R55-R83</f>
        <v>0</v>
      </c>
    </row>
    <row r="86" spans="2:19" x14ac:dyDescent="0.25">
      <c r="Q86" s="306" t="s">
        <v>334</v>
      </c>
    </row>
    <row r="87" spans="2:19" x14ac:dyDescent="0.25">
      <c r="Q87" s="306" t="s">
        <v>325</v>
      </c>
      <c r="R87" s="323">
        <f>C80+H80+M80+R80</f>
        <v>393710.42999999993</v>
      </c>
      <c r="S87" s="437">
        <f>R87/$R$90</f>
        <v>0.77191074204067833</v>
      </c>
    </row>
    <row r="88" spans="2:19" x14ac:dyDescent="0.25">
      <c r="Q88" s="306" t="s">
        <v>333</v>
      </c>
      <c r="R88" s="323">
        <f>C81+H81+M81+R81</f>
        <v>65790.988704689167</v>
      </c>
      <c r="S88" s="437">
        <f t="shared" ref="S88:S90" si="13">R88/$R$90</f>
        <v>0.1289901588602225</v>
      </c>
    </row>
    <row r="89" spans="2:19" x14ac:dyDescent="0.25">
      <c r="Q89" s="306" t="s">
        <v>321</v>
      </c>
      <c r="R89" s="323">
        <f>C82+H82+M82+R82</f>
        <v>50545.156057515807</v>
      </c>
      <c r="S89" s="437">
        <f t="shared" si="13"/>
        <v>9.90990990990991E-2</v>
      </c>
    </row>
    <row r="90" spans="2:19" x14ac:dyDescent="0.25">
      <c r="Q90" s="306" t="s">
        <v>326</v>
      </c>
      <c r="R90" s="323">
        <f>SUM(R87:R89)</f>
        <v>510046.57476220495</v>
      </c>
      <c r="S90" s="437">
        <f t="shared" si="13"/>
        <v>1</v>
      </c>
    </row>
    <row r="91" spans="2:19" x14ac:dyDescent="0.25">
      <c r="R91" s="394">
        <f>C83+H83+M83+R83</f>
        <v>510046.57476220489</v>
      </c>
    </row>
    <row r="93" spans="2:19" x14ac:dyDescent="0.25">
      <c r="R93" s="323">
        <f>R91/25000</f>
        <v>20.401862990488194</v>
      </c>
    </row>
  </sheetData>
  <mergeCells count="39">
    <mergeCell ref="B68:D68"/>
    <mergeCell ref="G68:I68"/>
    <mergeCell ref="L68:N68"/>
    <mergeCell ref="Q68:S68"/>
    <mergeCell ref="AH6:AH7"/>
    <mergeCell ref="AM6:AM7"/>
    <mergeCell ref="AR6:AR7"/>
    <mergeCell ref="AX6:AX7"/>
    <mergeCell ref="BU35:BV35"/>
    <mergeCell ref="BU43:BV43"/>
    <mergeCell ref="AE3:AH3"/>
    <mergeCell ref="AJ3:AM3"/>
    <mergeCell ref="AO3:AR3"/>
    <mergeCell ref="AU3:AX3"/>
    <mergeCell ref="D6:D7"/>
    <mergeCell ref="I6:I7"/>
    <mergeCell ref="N6:N7"/>
    <mergeCell ref="S6:S7"/>
    <mergeCell ref="X6:X7"/>
    <mergeCell ref="AC6:AC7"/>
    <mergeCell ref="A3:D3"/>
    <mergeCell ref="F3:I3"/>
    <mergeCell ref="K3:N3"/>
    <mergeCell ref="P3:S3"/>
    <mergeCell ref="U3:X3"/>
    <mergeCell ref="Z3:AC3"/>
    <mergeCell ref="AE1:AH1"/>
    <mergeCell ref="AJ1:AM1"/>
    <mergeCell ref="AO1:AR1"/>
    <mergeCell ref="AU1:AX1"/>
    <mergeCell ref="F2:H2"/>
    <mergeCell ref="AO2:AR2"/>
    <mergeCell ref="AU2:AX2"/>
    <mergeCell ref="Z1:AC1"/>
    <mergeCell ref="A1:C1"/>
    <mergeCell ref="F1:I1"/>
    <mergeCell ref="K1:N1"/>
    <mergeCell ref="P1:S1"/>
    <mergeCell ref="U1:X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CD43F-C4E9-410C-9DAC-5D900289AE24}">
  <dimension ref="B1:P87"/>
  <sheetViews>
    <sheetView showGridLines="0" workbookViewId="0">
      <selection activeCell="D21" sqref="D21"/>
    </sheetView>
  </sheetViews>
  <sheetFormatPr defaultRowHeight="11.25" x14ac:dyDescent="0.2"/>
  <cols>
    <col min="1" max="1" width="9.140625" style="439"/>
    <col min="2" max="2" width="14.5703125" style="439" bestFit="1" customWidth="1"/>
    <col min="3" max="3" width="16.85546875" style="439" bestFit="1" customWidth="1"/>
    <col min="4" max="4" width="19.85546875" style="439" bestFit="1" customWidth="1"/>
    <col min="5" max="5" width="11.5703125" style="439" bestFit="1" customWidth="1"/>
    <col min="6" max="6" width="9" style="439" bestFit="1" customWidth="1"/>
    <col min="7" max="8" width="18.42578125" style="439" bestFit="1" customWidth="1"/>
    <col min="9" max="9" width="28.42578125" style="439" bestFit="1" customWidth="1"/>
    <col min="10" max="10" width="26.42578125" style="439" customWidth="1"/>
    <col min="11" max="11" width="9.140625" style="439"/>
    <col min="12" max="12" width="10.140625" style="439" bestFit="1" customWidth="1"/>
    <col min="13" max="13" width="11" style="439" bestFit="1" customWidth="1"/>
    <col min="14" max="14" width="9" style="439" bestFit="1" customWidth="1"/>
    <col min="15" max="15" width="44.140625" style="439" bestFit="1" customWidth="1"/>
    <col min="16" max="16" width="11.85546875" style="439" bestFit="1" customWidth="1"/>
    <col min="17" max="17" width="18.140625" style="439" bestFit="1" customWidth="1"/>
    <col min="18" max="19" width="9.140625" style="439"/>
    <col min="20" max="20" width="9.140625" style="439" customWidth="1"/>
    <col min="21" max="16384" width="9.140625" style="439"/>
  </cols>
  <sheetData>
    <row r="1" spans="2:15" ht="25.5" customHeight="1" x14ac:dyDescent="0.2">
      <c r="B1" s="533" t="s">
        <v>335</v>
      </c>
      <c r="C1" s="533"/>
      <c r="D1" s="533"/>
      <c r="G1" s="534" t="s">
        <v>336</v>
      </c>
      <c r="H1" s="534"/>
      <c r="I1" s="534"/>
      <c r="J1" s="534"/>
      <c r="O1" s="440"/>
    </row>
    <row r="2" spans="2:15" ht="22.5" x14ac:dyDescent="0.2">
      <c r="B2" s="441" t="s">
        <v>172</v>
      </c>
      <c r="G2" s="442" t="s">
        <v>337</v>
      </c>
      <c r="H2" s="442" t="s">
        <v>338</v>
      </c>
      <c r="I2" s="442" t="s">
        <v>339</v>
      </c>
      <c r="J2" s="442" t="s">
        <v>340</v>
      </c>
    </row>
    <row r="3" spans="2:15" x14ac:dyDescent="0.2">
      <c r="C3" s="443" t="s">
        <v>341</v>
      </c>
      <c r="D3" s="444">
        <v>16837.560000000001</v>
      </c>
      <c r="E3" s="440"/>
      <c r="G3" s="442" t="s">
        <v>342</v>
      </c>
      <c r="H3" s="442" t="s">
        <v>342</v>
      </c>
      <c r="I3" s="442" t="s">
        <v>342</v>
      </c>
      <c r="J3" s="442" t="s">
        <v>343</v>
      </c>
    </row>
    <row r="4" spans="2:15" x14ac:dyDescent="0.2">
      <c r="C4" s="445" t="s">
        <v>88</v>
      </c>
      <c r="D4" s="446">
        <f>IF(D3&gt;$G$14,$G$14,VLOOKUP(D3,$G$4:$J$14,1))</f>
        <v>12834.09</v>
      </c>
      <c r="G4" s="447">
        <v>0.01</v>
      </c>
      <c r="H4" s="447">
        <v>194.46</v>
      </c>
      <c r="I4" s="447">
        <v>0</v>
      </c>
      <c r="J4" s="448">
        <v>1.9199999999999998E-2</v>
      </c>
      <c r="M4" s="449"/>
    </row>
    <row r="5" spans="2:15" x14ac:dyDescent="0.2">
      <c r="C5" s="445" t="s">
        <v>344</v>
      </c>
      <c r="D5" s="450">
        <f>+D3-D4</f>
        <v>4003.4700000000012</v>
      </c>
      <c r="G5" s="447">
        <v>194.47</v>
      </c>
      <c r="H5" s="451">
        <v>1650.67</v>
      </c>
      <c r="I5" s="447">
        <v>3.71</v>
      </c>
      <c r="J5" s="448">
        <v>6.4000000000000001E-2</v>
      </c>
      <c r="M5" s="449"/>
    </row>
    <row r="6" spans="2:15" x14ac:dyDescent="0.2">
      <c r="C6" s="445" t="s">
        <v>345</v>
      </c>
      <c r="D6" s="452">
        <f>VLOOKUP(D3,$G$4:$J$14,4)</f>
        <v>0.3</v>
      </c>
      <c r="G6" s="451">
        <v>1650.68</v>
      </c>
      <c r="H6" s="451">
        <v>2900.87</v>
      </c>
      <c r="I6" s="447">
        <v>96.95</v>
      </c>
      <c r="J6" s="448">
        <v>0.10879999999999999</v>
      </c>
      <c r="M6" s="449"/>
    </row>
    <row r="7" spans="2:15" x14ac:dyDescent="0.2">
      <c r="C7" s="445" t="s">
        <v>346</v>
      </c>
      <c r="D7" s="450">
        <f>D5*D6</f>
        <v>1201.0410000000004</v>
      </c>
      <c r="G7" s="451">
        <v>2900.88</v>
      </c>
      <c r="H7" s="451">
        <v>3372.11</v>
      </c>
      <c r="I7" s="447">
        <v>232.96</v>
      </c>
      <c r="J7" s="453">
        <v>0.16</v>
      </c>
    </row>
    <row r="8" spans="2:15" x14ac:dyDescent="0.2">
      <c r="C8" s="445" t="s">
        <v>13</v>
      </c>
      <c r="D8" s="454">
        <f>VLOOKUP(D3,$G$4:$J$14,3)</f>
        <v>2407.86</v>
      </c>
      <c r="G8" s="451">
        <v>3372.12</v>
      </c>
      <c r="H8" s="451">
        <v>4037.32</v>
      </c>
      <c r="I8" s="447">
        <v>308.35000000000002</v>
      </c>
      <c r="J8" s="448">
        <v>0.1792</v>
      </c>
    </row>
    <row r="9" spans="2:15" x14ac:dyDescent="0.2">
      <c r="C9" s="445" t="s">
        <v>347</v>
      </c>
      <c r="D9" s="455">
        <f>+D7+D8</f>
        <v>3608.9010000000007</v>
      </c>
      <c r="G9" s="451">
        <v>4037.33</v>
      </c>
      <c r="H9" s="451">
        <v>8142.75</v>
      </c>
      <c r="I9" s="447">
        <v>427.56</v>
      </c>
      <c r="J9" s="448">
        <v>0.21360000000000001</v>
      </c>
    </row>
    <row r="10" spans="2:15" x14ac:dyDescent="0.2">
      <c r="C10" s="445" t="s">
        <v>348</v>
      </c>
      <c r="D10" s="456">
        <v>0</v>
      </c>
      <c r="G10" s="451">
        <v>8142.76</v>
      </c>
      <c r="H10" s="451">
        <v>12834.08</v>
      </c>
      <c r="I10" s="451">
        <v>1304.45</v>
      </c>
      <c r="J10" s="448">
        <v>0.23519999999999999</v>
      </c>
    </row>
    <row r="11" spans="2:15" x14ac:dyDescent="0.2">
      <c r="B11" s="441" t="s">
        <v>173</v>
      </c>
      <c r="C11" s="457" t="s">
        <v>44</v>
      </c>
      <c r="D11" s="458">
        <f>+D9-D10</f>
        <v>3608.9010000000007</v>
      </c>
      <c r="G11" s="451">
        <v>12834.09</v>
      </c>
      <c r="H11" s="451">
        <v>24502.45</v>
      </c>
      <c r="I11" s="451">
        <v>2407.86</v>
      </c>
      <c r="J11" s="453">
        <v>0.3</v>
      </c>
    </row>
    <row r="12" spans="2:15" x14ac:dyDescent="0.2">
      <c r="C12" s="445"/>
      <c r="D12" s="445"/>
      <c r="G12" s="451">
        <v>24502.46</v>
      </c>
      <c r="H12" s="451">
        <v>32669.91</v>
      </c>
      <c r="I12" s="451">
        <v>5908.35</v>
      </c>
      <c r="J12" s="453">
        <v>0.32</v>
      </c>
    </row>
    <row r="13" spans="2:15" x14ac:dyDescent="0.2">
      <c r="C13" s="457" t="s">
        <v>349</v>
      </c>
      <c r="D13" s="458">
        <f>+D3-D11</f>
        <v>13228.659</v>
      </c>
      <c r="G13" s="451">
        <v>32669.919999999998</v>
      </c>
      <c r="H13" s="451">
        <v>98009.66</v>
      </c>
      <c r="I13" s="451">
        <v>8521.94</v>
      </c>
      <c r="J13" s="453">
        <v>0.34</v>
      </c>
    </row>
    <row r="14" spans="2:15" x14ac:dyDescent="0.2">
      <c r="C14" s="445" t="s">
        <v>350</v>
      </c>
      <c r="D14" s="459">
        <v>13228.66</v>
      </c>
      <c r="G14" s="451">
        <v>98009.67</v>
      </c>
      <c r="H14" s="447" t="s">
        <v>232</v>
      </c>
      <c r="I14" s="451">
        <v>30737.49</v>
      </c>
      <c r="J14" s="453">
        <v>0.35</v>
      </c>
    </row>
    <row r="15" spans="2:15" x14ac:dyDescent="0.2">
      <c r="C15" s="445" t="s">
        <v>351</v>
      </c>
      <c r="D15" s="460">
        <f>+D13-D14</f>
        <v>-1.0000000002037268E-3</v>
      </c>
    </row>
    <row r="17" spans="2:16" ht="12.75" customHeight="1" x14ac:dyDescent="0.2">
      <c r="P17" s="444"/>
    </row>
    <row r="19" spans="2:16" ht="22.5" x14ac:dyDescent="0.2">
      <c r="B19" s="535" t="s">
        <v>352</v>
      </c>
      <c r="C19" s="535"/>
      <c r="D19" s="535"/>
      <c r="E19" s="461" t="s">
        <v>353</v>
      </c>
      <c r="G19" s="536" t="s">
        <v>354</v>
      </c>
      <c r="H19" s="537"/>
      <c r="I19" s="537"/>
      <c r="J19" s="538"/>
    </row>
    <row r="20" spans="2:16" ht="22.5" x14ac:dyDescent="0.2">
      <c r="B20" s="441" t="s">
        <v>172</v>
      </c>
      <c r="E20" s="462"/>
      <c r="G20" s="442" t="s">
        <v>337</v>
      </c>
      <c r="H20" s="442" t="s">
        <v>338</v>
      </c>
      <c r="I20" s="442" t="s">
        <v>339</v>
      </c>
      <c r="J20" s="442" t="s">
        <v>340</v>
      </c>
      <c r="M20" s="449"/>
    </row>
    <row r="21" spans="2:16" x14ac:dyDescent="0.2">
      <c r="C21" s="443" t="s">
        <v>341</v>
      </c>
      <c r="D21" s="444">
        <f>+'Simulacion Asimilado '!AW16*2</f>
        <v>49691.790772869943</v>
      </c>
      <c r="E21" s="463">
        <f>+D21/2</f>
        <v>24845.895386434971</v>
      </c>
      <c r="F21" s="449"/>
      <c r="G21" s="442" t="s">
        <v>342</v>
      </c>
      <c r="H21" s="442" t="s">
        <v>342</v>
      </c>
      <c r="I21" s="442" t="s">
        <v>342</v>
      </c>
      <c r="J21" s="442" t="s">
        <v>343</v>
      </c>
      <c r="M21" s="449"/>
    </row>
    <row r="22" spans="2:16" x14ac:dyDescent="0.2">
      <c r="C22" s="445" t="s">
        <v>88</v>
      </c>
      <c r="D22" s="446">
        <f>IF(D21&gt;$G$32,$G$32,VLOOKUP(D21,$G$22:$J$32,1))</f>
        <v>35362.839999999997</v>
      </c>
      <c r="E22" s="464"/>
      <c r="G22" s="451">
        <v>0.01</v>
      </c>
      <c r="H22" s="451">
        <v>844.59</v>
      </c>
      <c r="I22" s="451">
        <v>0</v>
      </c>
      <c r="J22" s="448">
        <v>1.9199999999999998E-2</v>
      </c>
      <c r="M22" s="449"/>
      <c r="N22" s="465"/>
      <c r="O22" s="465"/>
    </row>
    <row r="23" spans="2:16" x14ac:dyDescent="0.2">
      <c r="C23" s="445" t="s">
        <v>344</v>
      </c>
      <c r="D23" s="450">
        <f>+D21-D22</f>
        <v>14328.950772869946</v>
      </c>
      <c r="E23" s="464"/>
      <c r="G23" s="451">
        <v>844.6</v>
      </c>
      <c r="H23" s="451">
        <v>7168.51</v>
      </c>
      <c r="I23" s="451">
        <v>16.22</v>
      </c>
      <c r="J23" s="448">
        <v>6.4000000000000001E-2</v>
      </c>
      <c r="M23" s="449"/>
      <c r="N23" s="465"/>
      <c r="O23" s="465"/>
    </row>
    <row r="24" spans="2:16" x14ac:dyDescent="0.2">
      <c r="C24" s="445" t="s">
        <v>345</v>
      </c>
      <c r="D24" s="452">
        <f>VLOOKUP(D21,$G$22:$J$32,4)</f>
        <v>0.23519999999999999</v>
      </c>
      <c r="E24" s="464"/>
      <c r="G24" s="451">
        <v>7168.52</v>
      </c>
      <c r="H24" s="451">
        <v>12598.02</v>
      </c>
      <c r="I24" s="451">
        <v>420.95</v>
      </c>
      <c r="J24" s="448">
        <v>0.10879999999999999</v>
      </c>
      <c r="M24" s="449"/>
      <c r="N24" s="465"/>
      <c r="O24" s="465"/>
    </row>
    <row r="25" spans="2:16" x14ac:dyDescent="0.2">
      <c r="C25" s="445" t="s">
        <v>346</v>
      </c>
      <c r="D25" s="450">
        <f>D23*D24</f>
        <v>3370.1692217790114</v>
      </c>
      <c r="E25" s="464"/>
      <c r="G25" s="451">
        <v>12598.03</v>
      </c>
      <c r="H25" s="451">
        <v>14644.64</v>
      </c>
      <c r="I25" s="451">
        <v>1011.68</v>
      </c>
      <c r="J25" s="453">
        <v>0.16</v>
      </c>
      <c r="M25" s="449"/>
      <c r="N25" s="465"/>
      <c r="O25" s="465"/>
    </row>
    <row r="26" spans="2:16" x14ac:dyDescent="0.2">
      <c r="C26" s="445" t="s">
        <v>13</v>
      </c>
      <c r="D26" s="454">
        <f>VLOOKUP(D21,$G$22:$J$32,3)</f>
        <v>5665.16</v>
      </c>
      <c r="E26" s="464"/>
      <c r="G26" s="451">
        <v>14644.65</v>
      </c>
      <c r="H26" s="451">
        <v>17533.64</v>
      </c>
      <c r="I26" s="451">
        <v>1339.14</v>
      </c>
      <c r="J26" s="448">
        <v>0.1792</v>
      </c>
      <c r="M26" s="449"/>
      <c r="N26" s="465"/>
      <c r="O26" s="465"/>
    </row>
    <row r="27" spans="2:16" x14ac:dyDescent="0.2">
      <c r="C27" s="445" t="s">
        <v>347</v>
      </c>
      <c r="D27" s="455">
        <f>+D25+D26</f>
        <v>9035.3292217790113</v>
      </c>
      <c r="E27" s="464"/>
      <c r="G27" s="451">
        <v>17533.650000000001</v>
      </c>
      <c r="H27" s="451">
        <v>35362.83</v>
      </c>
      <c r="I27" s="451">
        <v>1856.84</v>
      </c>
      <c r="J27" s="448">
        <v>0.21360000000000001</v>
      </c>
      <c r="M27" s="449"/>
      <c r="N27" s="465"/>
      <c r="O27" s="465"/>
    </row>
    <row r="28" spans="2:16" x14ac:dyDescent="0.2">
      <c r="C28" s="445" t="s">
        <v>348</v>
      </c>
      <c r="D28" s="456">
        <v>0</v>
      </c>
      <c r="E28" s="464"/>
      <c r="G28" s="451">
        <v>35362.839999999997</v>
      </c>
      <c r="H28" s="451">
        <v>55736.68</v>
      </c>
      <c r="I28" s="451">
        <v>5665.16</v>
      </c>
      <c r="J28" s="448">
        <v>0.23519999999999999</v>
      </c>
      <c r="M28" s="449"/>
      <c r="N28" s="465"/>
      <c r="O28" s="465"/>
    </row>
    <row r="29" spans="2:16" x14ac:dyDescent="0.2">
      <c r="B29" s="441" t="s">
        <v>173</v>
      </c>
      <c r="C29" s="457" t="s">
        <v>44</v>
      </c>
      <c r="D29" s="458">
        <f>+D27-D28</f>
        <v>9035.3292217790113</v>
      </c>
      <c r="E29" s="466">
        <f>+D29/2</f>
        <v>4517.6646108895056</v>
      </c>
      <c r="G29" s="451">
        <v>55736.69</v>
      </c>
      <c r="H29" s="451">
        <v>106410.5</v>
      </c>
      <c r="I29" s="451">
        <v>10457.09</v>
      </c>
      <c r="J29" s="453">
        <v>0.3</v>
      </c>
      <c r="M29" s="449"/>
      <c r="N29" s="465"/>
      <c r="O29" s="465"/>
    </row>
    <row r="30" spans="2:16" x14ac:dyDescent="0.2">
      <c r="C30" s="445"/>
      <c r="D30" s="445"/>
      <c r="E30" s="464"/>
      <c r="G30" s="451">
        <v>106410.51</v>
      </c>
      <c r="H30" s="451">
        <v>141880.66</v>
      </c>
      <c r="I30" s="451">
        <v>25659.23</v>
      </c>
      <c r="J30" s="453">
        <v>0.32</v>
      </c>
      <c r="M30" s="449"/>
      <c r="N30" s="465"/>
      <c r="O30" s="465"/>
    </row>
    <row r="31" spans="2:16" x14ac:dyDescent="0.2">
      <c r="C31" s="457" t="s">
        <v>349</v>
      </c>
      <c r="D31" s="458">
        <f>+D21-D29</f>
        <v>40656.461551090935</v>
      </c>
      <c r="E31" s="466">
        <f>+E21-E29</f>
        <v>20328.230775545468</v>
      </c>
      <c r="G31" s="451">
        <v>141880.67000000001</v>
      </c>
      <c r="H31" s="451">
        <v>425641.99</v>
      </c>
      <c r="I31" s="451">
        <v>37009.69</v>
      </c>
      <c r="J31" s="453">
        <v>0.34</v>
      </c>
      <c r="M31" s="449"/>
      <c r="N31" s="465"/>
      <c r="O31" s="465"/>
    </row>
    <row r="32" spans="2:16" x14ac:dyDescent="0.2">
      <c r="C32" s="445" t="s">
        <v>350</v>
      </c>
      <c r="D32" s="459">
        <v>0</v>
      </c>
      <c r="E32" s="464">
        <v>0</v>
      </c>
      <c r="G32" s="451">
        <v>425642</v>
      </c>
      <c r="H32" s="451" t="s">
        <v>232</v>
      </c>
      <c r="I32" s="451">
        <v>133488.54</v>
      </c>
      <c r="J32" s="453">
        <v>0.35</v>
      </c>
      <c r="M32" s="449"/>
      <c r="N32" s="465"/>
      <c r="O32" s="465"/>
    </row>
    <row r="33" spans="2:15" x14ac:dyDescent="0.2">
      <c r="C33" s="445" t="s">
        <v>351</v>
      </c>
      <c r="D33" s="460">
        <f>+D32-E32</f>
        <v>0</v>
      </c>
    </row>
    <row r="34" spans="2:15" x14ac:dyDescent="0.2">
      <c r="B34" s="441"/>
    </row>
    <row r="35" spans="2:15" x14ac:dyDescent="0.2">
      <c r="C35" s="467"/>
      <c r="D35" s="468"/>
    </row>
    <row r="38" spans="2:15" ht="22.5" customHeight="1" x14ac:dyDescent="0.2">
      <c r="B38" s="539" t="s">
        <v>355</v>
      </c>
      <c r="C38" s="539"/>
      <c r="D38" s="539"/>
      <c r="G38" s="540" t="s">
        <v>354</v>
      </c>
      <c r="H38" s="541"/>
      <c r="I38" s="541"/>
      <c r="J38" s="542"/>
      <c r="L38" s="529" t="s">
        <v>356</v>
      </c>
      <c r="M38" s="530"/>
      <c r="N38" s="530"/>
      <c r="O38" s="530"/>
    </row>
    <row r="39" spans="2:15" ht="22.5" x14ac:dyDescent="0.2">
      <c r="B39" s="441" t="s">
        <v>172</v>
      </c>
      <c r="G39" s="442" t="s">
        <v>337</v>
      </c>
      <c r="H39" s="442" t="s">
        <v>338</v>
      </c>
      <c r="I39" s="442" t="s">
        <v>339</v>
      </c>
      <c r="J39" s="442" t="s">
        <v>340</v>
      </c>
      <c r="L39" s="442" t="s">
        <v>337</v>
      </c>
      <c r="M39" s="442" t="s">
        <v>338</v>
      </c>
      <c r="N39" s="442" t="s">
        <v>339</v>
      </c>
      <c r="O39" s="442" t="s">
        <v>340</v>
      </c>
    </row>
    <row r="40" spans="2:15" x14ac:dyDescent="0.2">
      <c r="C40" s="443" t="s">
        <v>341</v>
      </c>
      <c r="D40" s="444">
        <v>15715.95</v>
      </c>
      <c r="E40" s="449"/>
      <c r="F40" s="449"/>
      <c r="G40" s="442" t="s">
        <v>342</v>
      </c>
      <c r="H40" s="442" t="s">
        <v>342</v>
      </c>
      <c r="I40" s="442" t="s">
        <v>342</v>
      </c>
      <c r="J40" s="442" t="s">
        <v>343</v>
      </c>
      <c r="L40" s="442" t="s">
        <v>342</v>
      </c>
      <c r="M40" s="442" t="s">
        <v>342</v>
      </c>
      <c r="N40" s="442" t="s">
        <v>342</v>
      </c>
      <c r="O40" s="442" t="s">
        <v>343</v>
      </c>
    </row>
    <row r="41" spans="2:15" x14ac:dyDescent="0.2">
      <c r="C41" s="445" t="s">
        <v>88</v>
      </c>
      <c r="D41" s="446">
        <f>IF(D40&gt;$L$51,$L$51,VLOOKUP(D40,$L$41:$O$51,1))</f>
        <v>8074.7072368421068</v>
      </c>
      <c r="E41" s="449"/>
      <c r="G41" s="451">
        <v>0.01</v>
      </c>
      <c r="H41" s="451">
        <v>844.59</v>
      </c>
      <c r="I41" s="451">
        <v>0</v>
      </c>
      <c r="J41" s="448">
        <v>1.9199999999999998E-2</v>
      </c>
      <c r="L41" s="469">
        <v>4.6052631578947373E-3</v>
      </c>
      <c r="M41" s="469">
        <v>388.9559210526316</v>
      </c>
      <c r="N41" s="469">
        <v>0</v>
      </c>
      <c r="O41" s="448">
        <v>1.9199999999999998E-2</v>
      </c>
    </row>
    <row r="42" spans="2:15" x14ac:dyDescent="0.2">
      <c r="C42" s="445" t="s">
        <v>344</v>
      </c>
      <c r="D42" s="450">
        <f>+D40-D41</f>
        <v>7641.2427631578939</v>
      </c>
      <c r="E42" s="449"/>
      <c r="G42" s="451">
        <v>844.6</v>
      </c>
      <c r="H42" s="451">
        <v>7168.51</v>
      </c>
      <c r="I42" s="451">
        <v>16.22</v>
      </c>
      <c r="J42" s="448">
        <v>6.4000000000000001E-2</v>
      </c>
      <c r="L42" s="469">
        <v>388.96052631578948</v>
      </c>
      <c r="M42" s="469">
        <v>3301.2874999999999</v>
      </c>
      <c r="N42" s="469">
        <f>+(I42/30.4)*14</f>
        <v>7.469736842105263</v>
      </c>
      <c r="O42" s="448">
        <v>6.4000000000000001E-2</v>
      </c>
    </row>
    <row r="43" spans="2:15" x14ac:dyDescent="0.2">
      <c r="C43" s="445" t="s">
        <v>345</v>
      </c>
      <c r="D43" s="452">
        <f>VLOOKUP(D40,$L$41:$O$51,4)</f>
        <v>0.21360000000000001</v>
      </c>
      <c r="E43" s="449"/>
      <c r="G43" s="451">
        <v>7168.52</v>
      </c>
      <c r="H43" s="451">
        <v>12598.02</v>
      </c>
      <c r="I43" s="451">
        <v>420.95</v>
      </c>
      <c r="J43" s="448">
        <v>0.10879999999999999</v>
      </c>
      <c r="L43" s="469">
        <v>3301.2921052631582</v>
      </c>
      <c r="M43" s="469">
        <v>5801.7197368421057</v>
      </c>
      <c r="N43" s="469">
        <f t="shared" ref="N43:N51" si="0">+(I43/30.4)*14</f>
        <v>193.85855263157896</v>
      </c>
      <c r="O43" s="448">
        <v>0.10879999999999999</v>
      </c>
    </row>
    <row r="44" spans="2:15" x14ac:dyDescent="0.2">
      <c r="C44" s="445" t="s">
        <v>346</v>
      </c>
      <c r="D44" s="450">
        <f>D42*D43</f>
        <v>1632.1694542105263</v>
      </c>
      <c r="E44" s="449"/>
      <c r="G44" s="451">
        <v>12598.03</v>
      </c>
      <c r="H44" s="451">
        <v>14644.64</v>
      </c>
      <c r="I44" s="451">
        <v>1011.68</v>
      </c>
      <c r="J44" s="453">
        <v>0.16</v>
      </c>
      <c r="L44" s="469">
        <v>5801.7243421052635</v>
      </c>
      <c r="M44" s="469">
        <v>6744.242105263158</v>
      </c>
      <c r="N44" s="469">
        <f t="shared" si="0"/>
        <v>465.90526315789469</v>
      </c>
      <c r="O44" s="453">
        <v>0.16</v>
      </c>
    </row>
    <row r="45" spans="2:15" x14ac:dyDescent="0.2">
      <c r="C45" s="445" t="s">
        <v>13</v>
      </c>
      <c r="D45" s="454">
        <f>VLOOKUP(D40,$L$41:$O$51,3)</f>
        <v>855.12368421052633</v>
      </c>
      <c r="E45" s="449"/>
      <c r="G45" s="451">
        <v>14644.65</v>
      </c>
      <c r="H45" s="451">
        <v>17533.64</v>
      </c>
      <c r="I45" s="451">
        <v>1339.14</v>
      </c>
      <c r="J45" s="448">
        <v>0.1792</v>
      </c>
      <c r="L45" s="469">
        <v>6744.2467105263167</v>
      </c>
      <c r="M45" s="469">
        <v>8074.7026315789481</v>
      </c>
      <c r="N45" s="469">
        <f t="shared" si="0"/>
        <v>616.70921052631593</v>
      </c>
      <c r="O45" s="448">
        <v>0.1792</v>
      </c>
    </row>
    <row r="46" spans="2:15" x14ac:dyDescent="0.2">
      <c r="C46" s="445" t="s">
        <v>347</v>
      </c>
      <c r="D46" s="455">
        <f>+D44+D45</f>
        <v>2487.2931384210524</v>
      </c>
      <c r="E46" s="449"/>
      <c r="G46" s="451">
        <v>17533.650000000001</v>
      </c>
      <c r="H46" s="451">
        <v>35362.83</v>
      </c>
      <c r="I46" s="451">
        <v>1856.84</v>
      </c>
      <c r="J46" s="448">
        <v>0.21360000000000001</v>
      </c>
      <c r="L46" s="469">
        <v>8074.7072368421068</v>
      </c>
      <c r="M46" s="469">
        <v>16285.513815789476</v>
      </c>
      <c r="N46" s="469">
        <f t="shared" si="0"/>
        <v>855.12368421052633</v>
      </c>
      <c r="O46" s="448">
        <v>0.21360000000000001</v>
      </c>
    </row>
    <row r="47" spans="2:15" x14ac:dyDescent="0.2">
      <c r="C47" s="445" t="s">
        <v>348</v>
      </c>
      <c r="D47" s="456">
        <v>0</v>
      </c>
      <c r="E47" s="449"/>
      <c r="G47" s="451">
        <v>35362.839999999997</v>
      </c>
      <c r="H47" s="451">
        <v>55736.68</v>
      </c>
      <c r="I47" s="451">
        <v>5665.16</v>
      </c>
      <c r="J47" s="448">
        <v>0.23519999999999999</v>
      </c>
      <c r="L47" s="469">
        <v>16285.518421052631</v>
      </c>
      <c r="M47" s="469">
        <v>25668.207894736843</v>
      </c>
      <c r="N47" s="469">
        <f t="shared" si="0"/>
        <v>2608.9552631578945</v>
      </c>
      <c r="O47" s="448">
        <v>0.23519999999999999</v>
      </c>
    </row>
    <row r="48" spans="2:15" x14ac:dyDescent="0.2">
      <c r="B48" s="441" t="s">
        <v>173</v>
      </c>
      <c r="C48" s="457" t="s">
        <v>44</v>
      </c>
      <c r="D48" s="458">
        <f>+D46-D47</f>
        <v>2487.2931384210524</v>
      </c>
      <c r="E48" s="449"/>
      <c r="G48" s="451">
        <v>55736.69</v>
      </c>
      <c r="H48" s="451">
        <v>106410.5</v>
      </c>
      <c r="I48" s="451">
        <v>10457.09</v>
      </c>
      <c r="J48" s="453">
        <v>0.3</v>
      </c>
      <c r="L48" s="469">
        <v>25668.212500000001</v>
      </c>
      <c r="M48" s="469">
        <v>49004.835526315786</v>
      </c>
      <c r="N48" s="469">
        <f t="shared" si="0"/>
        <v>4815.7651315789481</v>
      </c>
      <c r="O48" s="453">
        <v>0.3</v>
      </c>
    </row>
    <row r="49" spans="2:15" x14ac:dyDescent="0.2">
      <c r="C49" s="445"/>
      <c r="D49" s="445"/>
      <c r="E49" s="449"/>
      <c r="G49" s="451">
        <v>106410.51</v>
      </c>
      <c r="H49" s="451">
        <v>141880.66</v>
      </c>
      <c r="I49" s="451">
        <v>25659.23</v>
      </c>
      <c r="J49" s="453">
        <v>0.32</v>
      </c>
      <c r="L49" s="469">
        <v>49004.840131578945</v>
      </c>
      <c r="M49" s="469">
        <v>65339.777631578945</v>
      </c>
      <c r="N49" s="469">
        <f t="shared" si="0"/>
        <v>11816.750657894738</v>
      </c>
      <c r="O49" s="453">
        <v>0.32</v>
      </c>
    </row>
    <row r="50" spans="2:15" x14ac:dyDescent="0.2">
      <c r="C50" s="457" t="s">
        <v>349</v>
      </c>
      <c r="D50" s="458">
        <f>+D40-D48</f>
        <v>13228.656861578947</v>
      </c>
      <c r="E50" s="449"/>
      <c r="G50" s="451">
        <v>141880.67000000001</v>
      </c>
      <c r="H50" s="451">
        <v>425641.99</v>
      </c>
      <c r="I50" s="451">
        <v>37009.69</v>
      </c>
      <c r="J50" s="453">
        <v>0.34</v>
      </c>
      <c r="L50" s="469">
        <v>65339.782236842111</v>
      </c>
      <c r="M50" s="469">
        <v>196019.33749999999</v>
      </c>
      <c r="N50" s="469">
        <f t="shared" si="0"/>
        <v>17043.936184210528</v>
      </c>
      <c r="O50" s="453">
        <v>0.34</v>
      </c>
    </row>
    <row r="51" spans="2:15" x14ac:dyDescent="0.2">
      <c r="C51" s="445" t="s">
        <v>350</v>
      </c>
      <c r="D51" s="459">
        <v>13228.66</v>
      </c>
      <c r="E51" s="449"/>
      <c r="G51" s="451">
        <v>425642</v>
      </c>
      <c r="H51" s="451" t="s">
        <v>232</v>
      </c>
      <c r="I51" s="451">
        <v>133488.54</v>
      </c>
      <c r="J51" s="453">
        <v>0.35</v>
      </c>
      <c r="L51" s="469">
        <v>196019.34210526315</v>
      </c>
      <c r="M51" s="469">
        <v>0</v>
      </c>
      <c r="N51" s="469">
        <f t="shared" si="0"/>
        <v>61474.985526315802</v>
      </c>
      <c r="O51" s="453">
        <v>0.35</v>
      </c>
    </row>
    <row r="52" spans="2:15" x14ac:dyDescent="0.2">
      <c r="C52" s="445" t="s">
        <v>351</v>
      </c>
      <c r="D52" s="460">
        <f>+D50-D51</f>
        <v>-3.1384210524265654E-3</v>
      </c>
    </row>
    <row r="53" spans="2:15" x14ac:dyDescent="0.2">
      <c r="C53" s="445"/>
      <c r="D53" s="460"/>
    </row>
    <row r="54" spans="2:15" x14ac:dyDescent="0.2">
      <c r="B54" s="440"/>
    </row>
    <row r="55" spans="2:15" ht="22.5" customHeight="1" x14ac:dyDescent="0.2">
      <c r="B55" s="470" t="s">
        <v>357</v>
      </c>
      <c r="C55" s="470" t="s">
        <v>358</v>
      </c>
      <c r="D55" s="470" t="s">
        <v>359</v>
      </c>
      <c r="G55" s="531" t="s">
        <v>360</v>
      </c>
      <c r="H55" s="531"/>
      <c r="I55" s="531"/>
      <c r="J55" s="531"/>
    </row>
    <row r="56" spans="2:15" x14ac:dyDescent="0.2">
      <c r="B56" s="449">
        <v>15716.56</v>
      </c>
      <c r="C56" s="439">
        <f>TRUNC((365/14),4)</f>
        <v>26.071400000000001</v>
      </c>
      <c r="D56" s="449">
        <f>+B56*C56</f>
        <v>409752.72238400002</v>
      </c>
      <c r="G56" s="442" t="s">
        <v>337</v>
      </c>
      <c r="H56" s="442" t="s">
        <v>338</v>
      </c>
      <c r="I56" s="442" t="s">
        <v>339</v>
      </c>
      <c r="J56" s="471" t="s">
        <v>340</v>
      </c>
      <c r="K56" s="472" t="s">
        <v>361</v>
      </c>
    </row>
    <row r="57" spans="2:15" x14ac:dyDescent="0.2">
      <c r="G57" s="473" t="s">
        <v>342</v>
      </c>
      <c r="H57" s="473" t="s">
        <v>342</v>
      </c>
      <c r="I57" s="473" t="s">
        <v>342</v>
      </c>
      <c r="J57" s="473" t="s">
        <v>343</v>
      </c>
    </row>
    <row r="58" spans="2:15" x14ac:dyDescent="0.2">
      <c r="B58" s="441" t="s">
        <v>172</v>
      </c>
      <c r="G58" s="473">
        <v>0.01</v>
      </c>
      <c r="H58" s="474">
        <v>10135.11</v>
      </c>
      <c r="I58" s="473">
        <v>0</v>
      </c>
      <c r="J58" s="475">
        <v>1.9199999999999998E-2</v>
      </c>
    </row>
    <row r="59" spans="2:15" x14ac:dyDescent="0.2">
      <c r="C59" s="443" t="s">
        <v>341</v>
      </c>
      <c r="D59" s="444">
        <f>+D56</f>
        <v>409752.72238400002</v>
      </c>
      <c r="G59" s="474">
        <v>10135.120000000001</v>
      </c>
      <c r="H59" s="474">
        <v>86022.11</v>
      </c>
      <c r="I59" s="473">
        <v>194.59</v>
      </c>
      <c r="J59" s="475">
        <v>6.4000000000000001E-2</v>
      </c>
    </row>
    <row r="60" spans="2:15" x14ac:dyDescent="0.2">
      <c r="C60" s="445" t="s">
        <v>88</v>
      </c>
      <c r="D60" s="446">
        <f>IF(D59&gt;$G$68,$G$68,VLOOKUP(D59,$G$58:$J$68,1))</f>
        <v>210403.7</v>
      </c>
      <c r="G60" s="474">
        <v>86022.12</v>
      </c>
      <c r="H60" s="474">
        <v>151176.19</v>
      </c>
      <c r="I60" s="474">
        <v>5051.37</v>
      </c>
      <c r="J60" s="475">
        <v>0.10879999999999999</v>
      </c>
    </row>
    <row r="61" spans="2:15" x14ac:dyDescent="0.2">
      <c r="C61" s="445" t="s">
        <v>344</v>
      </c>
      <c r="D61" s="450">
        <f>+D59-D60</f>
        <v>199349.02238400001</v>
      </c>
      <c r="G61" s="474">
        <v>151176.20000000001</v>
      </c>
      <c r="H61" s="474">
        <v>175735.66</v>
      </c>
      <c r="I61" s="474">
        <v>12140.13</v>
      </c>
      <c r="J61" s="476">
        <v>0.16</v>
      </c>
    </row>
    <row r="62" spans="2:15" x14ac:dyDescent="0.2">
      <c r="C62" s="445" t="s">
        <v>345</v>
      </c>
      <c r="D62" s="452">
        <f>VLOOKUP(D59,$G$58:$J$68,4)</f>
        <v>0.21360000000000001</v>
      </c>
      <c r="G62" s="474">
        <v>175735.67</v>
      </c>
      <c r="H62" s="474">
        <v>210403.69</v>
      </c>
      <c r="I62" s="474">
        <v>16069.64</v>
      </c>
      <c r="J62" s="475">
        <v>0.1792</v>
      </c>
    </row>
    <row r="63" spans="2:15" x14ac:dyDescent="0.2">
      <c r="C63" s="445" t="s">
        <v>346</v>
      </c>
      <c r="D63" s="450">
        <f>D61*D62</f>
        <v>42580.951181222408</v>
      </c>
      <c r="G63" s="474">
        <v>210403.7</v>
      </c>
      <c r="H63" s="474">
        <v>424353.97</v>
      </c>
      <c r="I63" s="474">
        <v>22282.14</v>
      </c>
      <c r="J63" s="475">
        <v>0.21360000000000001</v>
      </c>
    </row>
    <row r="64" spans="2:15" x14ac:dyDescent="0.2">
      <c r="C64" s="445" t="s">
        <v>13</v>
      </c>
      <c r="D64" s="454">
        <f>VLOOKUP(D59,$G$58:$J$68,3)</f>
        <v>22282.14</v>
      </c>
      <c r="G64" s="474">
        <v>424353.98</v>
      </c>
      <c r="H64" s="474">
        <v>668840.14</v>
      </c>
      <c r="I64" s="474">
        <v>67981.919999999998</v>
      </c>
      <c r="J64" s="475">
        <v>0.23519999999999999</v>
      </c>
    </row>
    <row r="65" spans="2:10" x14ac:dyDescent="0.2">
      <c r="C65" s="445" t="s">
        <v>347</v>
      </c>
      <c r="D65" s="455">
        <f>+D63+D64</f>
        <v>64863.091181222408</v>
      </c>
      <c r="G65" s="474">
        <v>668840.15</v>
      </c>
      <c r="H65" s="474">
        <v>1276925.98</v>
      </c>
      <c r="I65" s="474">
        <v>125485.07</v>
      </c>
      <c r="J65" s="476">
        <v>0.3</v>
      </c>
    </row>
    <row r="66" spans="2:10" x14ac:dyDescent="0.2">
      <c r="C66" s="445" t="s">
        <v>348</v>
      </c>
      <c r="D66" s="456">
        <v>0</v>
      </c>
      <c r="G66" s="474">
        <v>1276925.99</v>
      </c>
      <c r="H66" s="474">
        <v>1702567.97</v>
      </c>
      <c r="I66" s="474">
        <v>307910.81</v>
      </c>
      <c r="J66" s="476">
        <v>0.32</v>
      </c>
    </row>
    <row r="67" spans="2:10" x14ac:dyDescent="0.2">
      <c r="B67" s="441" t="s">
        <v>173</v>
      </c>
      <c r="C67" s="457" t="s">
        <v>44</v>
      </c>
      <c r="D67" s="458">
        <f>+D65-D66</f>
        <v>64863.091181222408</v>
      </c>
      <c r="E67" s="449"/>
      <c r="G67" s="474">
        <v>1702567.98</v>
      </c>
      <c r="H67" s="474">
        <v>5107703.92</v>
      </c>
      <c r="I67" s="474">
        <v>444116.23</v>
      </c>
      <c r="J67" s="476">
        <v>0.34</v>
      </c>
    </row>
    <row r="68" spans="2:10" x14ac:dyDescent="0.2">
      <c r="C68" s="445"/>
      <c r="D68" s="445"/>
      <c r="G68" s="474">
        <v>5107703.93</v>
      </c>
      <c r="H68" s="473" t="s">
        <v>232</v>
      </c>
      <c r="I68" s="474">
        <v>1601862.46</v>
      </c>
      <c r="J68" s="476">
        <v>0.35</v>
      </c>
    </row>
    <row r="69" spans="2:10" x14ac:dyDescent="0.2">
      <c r="C69" s="457" t="s">
        <v>349</v>
      </c>
      <c r="D69" s="458">
        <f>+D59-D67</f>
        <v>344889.63120277761</v>
      </c>
    </row>
    <row r="70" spans="2:10" x14ac:dyDescent="0.2">
      <c r="C70" s="445" t="s">
        <v>350</v>
      </c>
      <c r="D70" s="459">
        <v>13228.66</v>
      </c>
    </row>
    <row r="72" spans="2:10" x14ac:dyDescent="0.2">
      <c r="B72" s="477" t="s">
        <v>362</v>
      </c>
      <c r="C72" s="477" t="s">
        <v>363</v>
      </c>
      <c r="D72" s="477" t="s">
        <v>364</v>
      </c>
    </row>
    <row r="73" spans="2:10" x14ac:dyDescent="0.2">
      <c r="B73" s="449">
        <f>+D67</f>
        <v>64863.091181222408</v>
      </c>
      <c r="C73" s="439">
        <f>+C56</f>
        <v>26.071400000000001</v>
      </c>
      <c r="D73" s="449">
        <f>+B73/C73</f>
        <v>2487.9021142409847</v>
      </c>
    </row>
    <row r="76" spans="2:10" x14ac:dyDescent="0.2">
      <c r="B76" s="477" t="s">
        <v>365</v>
      </c>
      <c r="C76" s="477" t="s">
        <v>44</v>
      </c>
      <c r="D76" s="477" t="s">
        <v>366</v>
      </c>
      <c r="E76" s="477" t="s">
        <v>367</v>
      </c>
      <c r="F76" s="477" t="s">
        <v>351</v>
      </c>
    </row>
    <row r="77" spans="2:10" x14ac:dyDescent="0.2">
      <c r="B77" s="440">
        <f>+B56</f>
        <v>15716.56</v>
      </c>
      <c r="C77" s="440">
        <f>+D73</f>
        <v>2487.9021142409847</v>
      </c>
      <c r="D77" s="449">
        <f>+B77-C77</f>
        <v>13228.657885759014</v>
      </c>
      <c r="E77" s="449">
        <v>13228.66</v>
      </c>
      <c r="F77" s="478">
        <f>+D77-E77</f>
        <v>-2.1142409859749023E-3</v>
      </c>
    </row>
    <row r="82" spans="6:10" x14ac:dyDescent="0.2">
      <c r="F82" s="532" t="s">
        <v>368</v>
      </c>
      <c r="G82" s="532"/>
      <c r="H82" s="532"/>
      <c r="I82" s="532"/>
      <c r="J82" s="532"/>
    </row>
    <row r="84" spans="6:10" x14ac:dyDescent="0.2">
      <c r="F84" s="479"/>
      <c r="G84" s="480" t="s">
        <v>369</v>
      </c>
      <c r="H84" s="480" t="s">
        <v>370</v>
      </c>
      <c r="I84" s="480" t="s">
        <v>371</v>
      </c>
      <c r="J84" s="480" t="s">
        <v>372</v>
      </c>
    </row>
    <row r="85" spans="6:10" x14ac:dyDescent="0.2">
      <c r="F85" s="439" t="s">
        <v>373</v>
      </c>
      <c r="G85" s="481">
        <f>+D3</f>
        <v>16837.560000000001</v>
      </c>
      <c r="H85" s="481">
        <f>+E21</f>
        <v>24845.895386434971</v>
      </c>
      <c r="I85" s="481">
        <f>+D40</f>
        <v>15715.95</v>
      </c>
      <c r="J85" s="481">
        <f>+B77</f>
        <v>15716.56</v>
      </c>
    </row>
    <row r="86" spans="6:10" x14ac:dyDescent="0.2">
      <c r="F86" s="439" t="s">
        <v>374</v>
      </c>
      <c r="G86" s="481">
        <f>+D11</f>
        <v>3608.9010000000007</v>
      </c>
      <c r="H86" s="481">
        <f>+E29</f>
        <v>4517.6646108895056</v>
      </c>
      <c r="I86" s="481">
        <f>+D48</f>
        <v>2487.2931384210524</v>
      </c>
      <c r="J86" s="481">
        <f>+C77</f>
        <v>2487.9021142409847</v>
      </c>
    </row>
    <row r="87" spans="6:10" x14ac:dyDescent="0.2">
      <c r="F87" s="439" t="s">
        <v>366</v>
      </c>
      <c r="G87" s="482">
        <f>+G85-G86</f>
        <v>13228.659</v>
      </c>
      <c r="H87" s="482">
        <f t="shared" ref="H87:J87" si="1">+H85-H86</f>
        <v>20328.230775545468</v>
      </c>
      <c r="I87" s="482">
        <f t="shared" si="1"/>
        <v>13228.656861578947</v>
      </c>
      <c r="J87" s="482">
        <f t="shared" si="1"/>
        <v>13228.657885759014</v>
      </c>
    </row>
  </sheetData>
  <mergeCells count="9">
    <mergeCell ref="L38:O38"/>
    <mergeCell ref="G55:J55"/>
    <mergeCell ref="F82:J82"/>
    <mergeCell ref="B1:D1"/>
    <mergeCell ref="G1:J1"/>
    <mergeCell ref="B19:D19"/>
    <mergeCell ref="G19:J19"/>
    <mergeCell ref="B38:D38"/>
    <mergeCell ref="G38:J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5767-D60E-4655-A92F-8CD72214A1C5}">
  <dimension ref="B3:D29"/>
  <sheetViews>
    <sheetView workbookViewId="0">
      <selection activeCell="E36" sqref="E36"/>
    </sheetView>
  </sheetViews>
  <sheetFormatPr defaultColWidth="8.85546875" defaultRowHeight="12.75" x14ac:dyDescent="0.2"/>
  <cols>
    <col min="2" max="2" width="17.85546875" bestFit="1" customWidth="1"/>
    <col min="3" max="3" width="16.42578125" bestFit="1" customWidth="1"/>
    <col min="4" max="4" width="11.28515625" bestFit="1" customWidth="1"/>
  </cols>
  <sheetData>
    <row r="3" spans="2:4" x14ac:dyDescent="0.2">
      <c r="B3" s="528" t="s">
        <v>179</v>
      </c>
      <c r="C3" s="528"/>
      <c r="D3" s="528"/>
    </row>
    <row r="5" spans="2:4" x14ac:dyDescent="0.2">
      <c r="B5" s="23" t="s">
        <v>172</v>
      </c>
    </row>
    <row r="6" spans="2:4" x14ac:dyDescent="0.2">
      <c r="C6" t="s">
        <v>20</v>
      </c>
      <c r="D6" s="32">
        <v>13518.66</v>
      </c>
    </row>
    <row r="7" spans="2:4" x14ac:dyDescent="0.2">
      <c r="C7" t="s">
        <v>169</v>
      </c>
      <c r="D7" s="32">
        <v>2253.11</v>
      </c>
    </row>
    <row r="8" spans="2:4" x14ac:dyDescent="0.2">
      <c r="C8" t="s">
        <v>170</v>
      </c>
      <c r="D8" s="32">
        <v>1577.1770000000001</v>
      </c>
    </row>
    <row r="9" spans="2:4" x14ac:dyDescent="0.2">
      <c r="C9" t="s">
        <v>171</v>
      </c>
      <c r="D9" s="32">
        <v>1577.1770000000001</v>
      </c>
    </row>
    <row r="10" spans="2:4" x14ac:dyDescent="0.2">
      <c r="C10" s="111" t="s">
        <v>177</v>
      </c>
      <c r="D10" s="112">
        <v>18926.124</v>
      </c>
    </row>
    <row r="12" spans="2:4" x14ac:dyDescent="0.2">
      <c r="B12" s="23" t="s">
        <v>173</v>
      </c>
    </row>
    <row r="13" spans="2:4" x14ac:dyDescent="0.2">
      <c r="C13" s="24" t="s">
        <v>137</v>
      </c>
      <c r="D13" s="32">
        <v>450.53601671917818</v>
      </c>
    </row>
    <row r="14" spans="2:4" x14ac:dyDescent="0.2">
      <c r="C14" s="24" t="s">
        <v>174</v>
      </c>
      <c r="D14" s="32">
        <v>4403.79</v>
      </c>
    </row>
    <row r="15" spans="2:4" x14ac:dyDescent="0.2">
      <c r="C15" s="24" t="s">
        <v>175</v>
      </c>
      <c r="D15" s="2">
        <v>0</v>
      </c>
    </row>
    <row r="16" spans="2:4" x14ac:dyDescent="0.2">
      <c r="C16" s="24" t="s">
        <v>176</v>
      </c>
      <c r="D16" s="36">
        <v>4854.3260167191784</v>
      </c>
    </row>
    <row r="19" spans="2:4" x14ac:dyDescent="0.2">
      <c r="C19" s="34" t="s">
        <v>178</v>
      </c>
      <c r="D19" s="59">
        <v>14071.797983280821</v>
      </c>
    </row>
    <row r="20" spans="2:4" x14ac:dyDescent="0.2">
      <c r="C20" s="37" t="s">
        <v>189</v>
      </c>
      <c r="D20" s="39">
        <v>200</v>
      </c>
    </row>
    <row r="21" spans="2:4" x14ac:dyDescent="0.2">
      <c r="C21" s="60" t="s">
        <v>206</v>
      </c>
      <c r="D21" s="61">
        <v>14271.797983280821</v>
      </c>
    </row>
    <row r="22" spans="2:4" x14ac:dyDescent="0.2">
      <c r="B22" s="23" t="s">
        <v>180</v>
      </c>
    </row>
    <row r="23" spans="2:4" x14ac:dyDescent="0.2">
      <c r="C23" s="24" t="s">
        <v>181</v>
      </c>
      <c r="D23" s="32">
        <v>1464.6908093424661</v>
      </c>
    </row>
    <row r="24" spans="2:4" x14ac:dyDescent="0.2">
      <c r="C24" s="24" t="s">
        <v>166</v>
      </c>
      <c r="D24" s="32">
        <v>827.47779589041113</v>
      </c>
    </row>
    <row r="25" spans="2:4" x14ac:dyDescent="0.2">
      <c r="C25" s="24" t="s">
        <v>167</v>
      </c>
      <c r="D25" s="35">
        <v>1032.8577848304112</v>
      </c>
    </row>
    <row r="26" spans="2:4" x14ac:dyDescent="0.2">
      <c r="C26" s="24" t="s">
        <v>168</v>
      </c>
      <c r="D26" s="33">
        <v>866.8164792</v>
      </c>
    </row>
    <row r="27" spans="2:4" x14ac:dyDescent="0.2">
      <c r="C27" s="24" t="s">
        <v>182</v>
      </c>
      <c r="D27" s="36">
        <v>4191.8428692632888</v>
      </c>
    </row>
    <row r="29" spans="2:4" x14ac:dyDescent="0.2">
      <c r="C29" s="37" t="s">
        <v>211</v>
      </c>
      <c r="D29" s="36">
        <v>23317.966869263288</v>
      </c>
    </row>
  </sheetData>
  <mergeCells count="1">
    <mergeCell ref="B3:D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B5E61-7B14-E34A-AD97-1E31A12B4858}">
  <dimension ref="C3:M38"/>
  <sheetViews>
    <sheetView showGridLines="0" zoomScale="90" zoomScaleNormal="90" workbookViewId="0">
      <selection activeCell="E6" sqref="E6"/>
    </sheetView>
  </sheetViews>
  <sheetFormatPr defaultColWidth="11.42578125" defaultRowHeight="12.75" x14ac:dyDescent="0.2"/>
  <cols>
    <col min="3" max="3" width="10.28515625" bestFit="1" customWidth="1"/>
    <col min="4" max="4" width="16.7109375" bestFit="1" customWidth="1"/>
    <col min="5" max="5" width="13.42578125" style="39" customWidth="1"/>
    <col min="6" max="6" width="5.7109375" style="39" customWidth="1"/>
    <col min="7" max="7" width="13.42578125" style="39" customWidth="1"/>
    <col min="8" max="8" width="4.7109375" style="65" customWidth="1"/>
    <col min="9" max="9" width="13.42578125" style="39" customWidth="1"/>
    <col min="10" max="10" width="4.42578125" style="65" customWidth="1"/>
    <col min="11" max="11" width="13.42578125" style="39" customWidth="1"/>
    <col min="12" max="12" width="4.7109375" style="65" customWidth="1"/>
    <col min="13" max="13" width="13.42578125" style="39" customWidth="1"/>
  </cols>
  <sheetData>
    <row r="3" spans="3:13" x14ac:dyDescent="0.2">
      <c r="C3" s="528" t="s">
        <v>179</v>
      </c>
      <c r="D3" s="528"/>
      <c r="E3" s="528"/>
      <c r="F3" s="55"/>
      <c r="G3" s="55"/>
      <c r="H3" s="64"/>
      <c r="I3" s="55"/>
      <c r="J3" s="64"/>
      <c r="K3" s="55"/>
      <c r="L3" s="64"/>
      <c r="M3" s="55"/>
    </row>
    <row r="5" spans="3:13" s="62" customFormat="1" x14ac:dyDescent="0.2">
      <c r="C5" s="23" t="s">
        <v>172</v>
      </c>
      <c r="D5"/>
      <c r="E5" s="39"/>
      <c r="F5" s="66"/>
      <c r="G5" s="74">
        <v>30</v>
      </c>
      <c r="H5" s="75"/>
      <c r="I5" s="74">
        <v>45</v>
      </c>
      <c r="J5" s="75"/>
      <c r="K5" s="74">
        <v>60</v>
      </c>
      <c r="L5" s="75"/>
      <c r="M5" s="74">
        <v>90</v>
      </c>
    </row>
    <row r="6" spans="3:13" x14ac:dyDescent="0.2">
      <c r="D6" t="s">
        <v>20</v>
      </c>
      <c r="E6" s="77">
        <v>18719.400000000001</v>
      </c>
      <c r="G6" s="79">
        <v>18719.400000000001</v>
      </c>
      <c r="H6" s="67"/>
      <c r="I6" s="79">
        <v>18719.400000000001</v>
      </c>
      <c r="J6" s="67"/>
      <c r="K6" s="79">
        <v>18719.400000000001</v>
      </c>
      <c r="L6" s="67"/>
      <c r="M6" s="79">
        <v>18719.400000000001</v>
      </c>
    </row>
    <row r="7" spans="3:13" x14ac:dyDescent="0.2">
      <c r="D7" t="s">
        <v>169</v>
      </c>
      <c r="E7" s="77">
        <v>3119.9</v>
      </c>
      <c r="G7" s="79">
        <v>3119.9</v>
      </c>
      <c r="H7" s="67"/>
      <c r="I7" s="79">
        <v>3119.9</v>
      </c>
      <c r="J7" s="67"/>
      <c r="K7" s="79">
        <v>3119.9</v>
      </c>
      <c r="L7" s="67"/>
      <c r="M7" s="79">
        <v>3119.9</v>
      </c>
    </row>
    <row r="8" spans="3:13" x14ac:dyDescent="0.2">
      <c r="D8" t="s">
        <v>204</v>
      </c>
      <c r="E8" s="77">
        <v>0</v>
      </c>
      <c r="G8" s="79">
        <v>0</v>
      </c>
      <c r="H8" s="67"/>
      <c r="I8" s="79">
        <v>0</v>
      </c>
      <c r="J8" s="67"/>
      <c r="K8" s="79">
        <v>0</v>
      </c>
      <c r="L8" s="67"/>
      <c r="M8" s="79">
        <v>0</v>
      </c>
    </row>
    <row r="9" spans="3:13" x14ac:dyDescent="0.2">
      <c r="D9" t="s">
        <v>170</v>
      </c>
      <c r="E9" s="77">
        <v>2183.9300000000003</v>
      </c>
      <c r="G9" s="79">
        <v>2183.9300000000003</v>
      </c>
      <c r="H9" s="67"/>
      <c r="I9" s="79">
        <v>2183.9300000000003</v>
      </c>
      <c r="J9" s="67"/>
      <c r="K9" s="79">
        <v>2183.9300000000003</v>
      </c>
      <c r="L9" s="67"/>
      <c r="M9" s="79">
        <v>2183.9300000000003</v>
      </c>
    </row>
    <row r="10" spans="3:13" x14ac:dyDescent="0.2">
      <c r="D10" t="s">
        <v>171</v>
      </c>
      <c r="E10" s="77">
        <v>2183.9300000000003</v>
      </c>
      <c r="G10" s="79">
        <v>2183.9300000000003</v>
      </c>
      <c r="H10" s="67"/>
      <c r="I10" s="79">
        <v>2183.9300000000003</v>
      </c>
      <c r="J10" s="67"/>
      <c r="K10" s="79">
        <v>2183.9300000000003</v>
      </c>
      <c r="L10" s="67"/>
      <c r="M10" s="79">
        <v>2183.9300000000003</v>
      </c>
    </row>
    <row r="11" spans="3:13" x14ac:dyDescent="0.2">
      <c r="D11" s="76" t="s">
        <v>30</v>
      </c>
      <c r="E11" s="78">
        <v>23960.831999999999</v>
      </c>
      <c r="F11" s="70"/>
      <c r="G11" s="78">
        <v>23960.831999999999</v>
      </c>
      <c r="H11" s="70"/>
      <c r="I11" s="78">
        <v>23960.831999999999</v>
      </c>
      <c r="J11" s="70"/>
      <c r="K11" s="78">
        <v>23960.831999999999</v>
      </c>
      <c r="L11" s="70"/>
      <c r="M11" s="78">
        <v>23960.831999999999</v>
      </c>
    </row>
    <row r="12" spans="3:13" x14ac:dyDescent="0.2">
      <c r="D12" s="37" t="s">
        <v>28</v>
      </c>
      <c r="E12" s="79">
        <v>107511.754</v>
      </c>
      <c r="F12" s="68"/>
      <c r="G12" s="85">
        <v>107511.754</v>
      </c>
      <c r="H12" s="69"/>
      <c r="I12" s="79">
        <v>107511.754</v>
      </c>
      <c r="J12" s="69"/>
      <c r="K12" s="79">
        <v>107511.754</v>
      </c>
      <c r="L12" s="69"/>
      <c r="M12" s="79">
        <v>107511.754</v>
      </c>
    </row>
    <row r="13" spans="3:13" x14ac:dyDescent="0.2">
      <c r="D13" s="37" t="s">
        <v>205</v>
      </c>
      <c r="E13" s="79">
        <v>37629.113899999997</v>
      </c>
      <c r="G13" s="79">
        <v>37629.113899999997</v>
      </c>
      <c r="H13" s="67"/>
      <c r="I13" s="79">
        <v>37629.113899999997</v>
      </c>
      <c r="J13" s="67"/>
      <c r="K13" s="79">
        <v>37629.113899999997</v>
      </c>
      <c r="L13" s="67"/>
      <c r="M13" s="79">
        <v>37629.113899999997</v>
      </c>
    </row>
    <row r="14" spans="3:13" x14ac:dyDescent="0.2">
      <c r="D14" s="37" t="s">
        <v>207</v>
      </c>
      <c r="E14" s="84">
        <v>0</v>
      </c>
      <c r="G14" s="84">
        <v>93597</v>
      </c>
      <c r="H14" s="67"/>
      <c r="I14" s="84">
        <v>140395.5</v>
      </c>
      <c r="J14" s="67"/>
      <c r="K14" s="84">
        <v>187194</v>
      </c>
      <c r="L14" s="67"/>
      <c r="M14" s="84">
        <v>280791</v>
      </c>
    </row>
    <row r="15" spans="3:13" x14ac:dyDescent="0.2">
      <c r="D15" s="23" t="s">
        <v>177</v>
      </c>
      <c r="E15" s="80">
        <f>SUM(E6:E14)</f>
        <v>195308.85989999998</v>
      </c>
      <c r="F15" s="68"/>
      <c r="G15" s="80">
        <f>SUM(G6:G14)</f>
        <v>288905.85989999998</v>
      </c>
      <c r="H15" s="69"/>
      <c r="I15" s="80">
        <f>SUM(I6:I14)</f>
        <v>335704.35989999998</v>
      </c>
      <c r="J15" s="69"/>
      <c r="K15" s="80">
        <f>SUM(K6:K14)</f>
        <v>382502.85989999998</v>
      </c>
      <c r="L15" s="69"/>
      <c r="M15" s="80">
        <f>SUM(M6:M14)</f>
        <v>476099.85989999998</v>
      </c>
    </row>
    <row r="16" spans="3:13" x14ac:dyDescent="0.2">
      <c r="E16" s="81"/>
      <c r="G16" s="86"/>
      <c r="H16" s="67"/>
      <c r="I16" s="86"/>
      <c r="J16" s="67"/>
      <c r="K16" s="86"/>
      <c r="L16" s="67"/>
      <c r="M16" s="86"/>
    </row>
    <row r="17" spans="3:13" x14ac:dyDescent="0.2">
      <c r="C17" s="23" t="s">
        <v>173</v>
      </c>
      <c r="E17" s="81"/>
      <c r="F17" s="63"/>
      <c r="G17" s="86"/>
      <c r="H17" s="67"/>
      <c r="I17" s="86"/>
      <c r="J17" s="67"/>
      <c r="K17" s="86"/>
      <c r="L17" s="67"/>
      <c r="M17" s="86"/>
    </row>
    <row r="18" spans="3:13" x14ac:dyDescent="0.2">
      <c r="D18" s="24" t="s">
        <v>137</v>
      </c>
      <c r="E18" s="77">
        <v>642.78849369863019</v>
      </c>
      <c r="F18" s="68"/>
      <c r="G18" s="85">
        <v>3240.1052436986311</v>
      </c>
      <c r="H18" s="69"/>
      <c r="I18" s="79">
        <v>4538.7636186986301</v>
      </c>
      <c r="J18" s="69"/>
      <c r="K18" s="79">
        <v>5837.4219936986301</v>
      </c>
      <c r="L18" s="69"/>
      <c r="M18" s="79">
        <v>8434.7387436986319</v>
      </c>
    </row>
    <row r="19" spans="3:13" x14ac:dyDescent="0.2">
      <c r="D19" s="24" t="s">
        <v>174</v>
      </c>
      <c r="E19" s="77">
        <v>113552.73000000001</v>
      </c>
      <c r="G19" s="79">
        <v>146311.67999999999</v>
      </c>
      <c r="H19" s="67"/>
      <c r="I19" s="79">
        <v>162691.15</v>
      </c>
      <c r="J19" s="67"/>
      <c r="K19" s="79">
        <v>179070.63</v>
      </c>
      <c r="L19" s="67"/>
      <c r="M19" s="79">
        <v>211829.58000000002</v>
      </c>
    </row>
    <row r="20" spans="3:13" x14ac:dyDescent="0.2">
      <c r="D20" s="24" t="s">
        <v>175</v>
      </c>
      <c r="E20" s="82"/>
      <c r="G20" s="82"/>
      <c r="H20" s="67"/>
      <c r="I20" s="82"/>
      <c r="J20" s="67"/>
      <c r="K20" s="82"/>
      <c r="L20" s="67"/>
      <c r="M20" s="82"/>
    </row>
    <row r="21" spans="3:13" x14ac:dyDescent="0.2">
      <c r="D21" s="24" t="s">
        <v>176</v>
      </c>
      <c r="E21" s="83">
        <f>SUM(E18:E20)</f>
        <v>114195.51849369865</v>
      </c>
      <c r="F21" s="71"/>
      <c r="G21" s="83">
        <f>SUM(G18:G20)</f>
        <v>149551.78524369863</v>
      </c>
      <c r="H21" s="72"/>
      <c r="I21" s="83">
        <f>SUM(I18:I20)</f>
        <v>167229.91361869863</v>
      </c>
      <c r="J21" s="72"/>
      <c r="K21" s="83">
        <f>SUM(K18:K20)</f>
        <v>184908.05199369864</v>
      </c>
      <c r="L21" s="72"/>
      <c r="M21" s="83">
        <f>SUM(M18:M20)</f>
        <v>220264.31874369865</v>
      </c>
    </row>
    <row r="22" spans="3:13" x14ac:dyDescent="0.2">
      <c r="E22" s="81"/>
      <c r="G22" s="86"/>
      <c r="H22" s="67"/>
      <c r="I22" s="86"/>
      <c r="J22" s="67"/>
      <c r="K22" s="86"/>
      <c r="L22" s="67"/>
      <c r="M22" s="86"/>
    </row>
    <row r="23" spans="3:13" x14ac:dyDescent="0.2">
      <c r="E23" s="81"/>
      <c r="G23" s="86"/>
      <c r="H23" s="67"/>
      <c r="I23" s="86"/>
      <c r="J23" s="67"/>
      <c r="K23" s="86"/>
      <c r="L23" s="67"/>
      <c r="M23" s="86"/>
    </row>
    <row r="24" spans="3:13" x14ac:dyDescent="0.2">
      <c r="D24" s="34" t="s">
        <v>178</v>
      </c>
      <c r="E24" s="59">
        <f>+E15-E21</f>
        <v>81113.341406301333</v>
      </c>
      <c r="F24" s="59"/>
      <c r="G24" s="59">
        <f>+G15-G21</f>
        <v>139354.07465630135</v>
      </c>
      <c r="H24" s="70"/>
      <c r="I24" s="59">
        <f>+I15-I21</f>
        <v>168474.44628130135</v>
      </c>
      <c r="J24" s="70"/>
      <c r="K24" s="59">
        <f>+K15-K21</f>
        <v>197594.80790630134</v>
      </c>
      <c r="L24" s="70"/>
      <c r="M24" s="59">
        <f>+M15-M21</f>
        <v>255835.54115630133</v>
      </c>
    </row>
    <row r="25" spans="3:13" x14ac:dyDescent="0.2">
      <c r="D25" s="37" t="s">
        <v>189</v>
      </c>
      <c r="E25" s="39">
        <v>200</v>
      </c>
      <c r="G25" s="63">
        <v>200</v>
      </c>
      <c r="H25" s="67"/>
      <c r="I25" s="63">
        <v>200</v>
      </c>
      <c r="J25" s="67"/>
      <c r="K25" s="63">
        <v>200</v>
      </c>
      <c r="L25" s="67"/>
      <c r="M25" s="63">
        <v>200</v>
      </c>
    </row>
    <row r="26" spans="3:13" x14ac:dyDescent="0.2">
      <c r="D26" s="60" t="s">
        <v>206</v>
      </c>
      <c r="E26" s="61">
        <f>+E24+E25</f>
        <v>81313.341406301333</v>
      </c>
      <c r="F26" s="61"/>
      <c r="G26" s="61">
        <f>+G24+G25</f>
        <v>139554.07465630135</v>
      </c>
      <c r="H26" s="73"/>
      <c r="I26" s="61">
        <f>+I24+I25</f>
        <v>168674.44628130135</v>
      </c>
      <c r="J26" s="73"/>
      <c r="K26" s="61">
        <f>+K24+K25</f>
        <v>197794.80790630134</v>
      </c>
      <c r="L26" s="73"/>
      <c r="M26" s="61">
        <f>+M24+M25</f>
        <v>256035.54115630133</v>
      </c>
    </row>
    <row r="27" spans="3:13" x14ac:dyDescent="0.2">
      <c r="C27" s="23" t="s">
        <v>180</v>
      </c>
      <c r="E27" s="81"/>
      <c r="F27" s="63"/>
      <c r="G27" s="86"/>
      <c r="H27" s="67"/>
      <c r="I27" s="86"/>
      <c r="J27" s="67"/>
      <c r="K27" s="86"/>
      <c r="L27" s="67"/>
      <c r="M27" s="86"/>
    </row>
    <row r="28" spans="3:13" x14ac:dyDescent="0.2">
      <c r="D28" s="24" t="s">
        <v>181</v>
      </c>
      <c r="E28" s="77">
        <v>1545.9187416438358</v>
      </c>
      <c r="F28" s="63"/>
      <c r="G28" s="79">
        <v>7255.3357416438375</v>
      </c>
      <c r="H28" s="67"/>
      <c r="I28" s="79">
        <v>10110.044241643836</v>
      </c>
      <c r="J28" s="67"/>
      <c r="K28" s="79">
        <v>12964.752741643835</v>
      </c>
      <c r="L28" s="67"/>
      <c r="M28" s="79">
        <v>18674.16974164384</v>
      </c>
    </row>
    <row r="29" spans="3:13" x14ac:dyDescent="0.2">
      <c r="D29" s="24" t="s">
        <v>166</v>
      </c>
      <c r="E29" s="77">
        <v>841.92500000000007</v>
      </c>
      <c r="F29" s="68"/>
      <c r="G29" s="87">
        <v>841.92500000000007</v>
      </c>
      <c r="H29" s="69"/>
      <c r="I29" s="79">
        <v>841.92500000000007</v>
      </c>
      <c r="J29" s="69"/>
      <c r="K29" s="79">
        <v>841.92500000000007</v>
      </c>
      <c r="L29" s="69"/>
      <c r="M29" s="79">
        <v>841.92500000000007</v>
      </c>
    </row>
    <row r="30" spans="3:13" x14ac:dyDescent="0.2">
      <c r="D30" s="24" t="s">
        <v>167</v>
      </c>
      <c r="E30" s="63">
        <v>1207.9227079452055</v>
      </c>
      <c r="G30" s="63">
        <v>6028.1682079452057</v>
      </c>
      <c r="H30" s="67"/>
      <c r="I30" s="63">
        <v>8438.2909579452062</v>
      </c>
      <c r="J30" s="67"/>
      <c r="K30" s="63">
        <v>10848.413707945205</v>
      </c>
      <c r="L30" s="67"/>
      <c r="M30" s="63">
        <v>15668.659207945206</v>
      </c>
    </row>
    <row r="31" spans="3:13" x14ac:dyDescent="0.2">
      <c r="D31" s="24" t="s">
        <v>168</v>
      </c>
      <c r="E31" s="84">
        <v>5859.2657969999991</v>
      </c>
      <c r="G31" s="84">
        <v>8667.1757969999999</v>
      </c>
      <c r="H31" s="67"/>
      <c r="I31" s="84">
        <v>10071.130797</v>
      </c>
      <c r="J31" s="67"/>
      <c r="K31" s="84">
        <v>11475.085797</v>
      </c>
      <c r="L31" s="67"/>
      <c r="M31" s="84">
        <v>14282.995797</v>
      </c>
    </row>
    <row r="32" spans="3:13" x14ac:dyDescent="0.2">
      <c r="D32" s="24" t="s">
        <v>182</v>
      </c>
      <c r="E32" s="80">
        <f>SUM(E28:E31)</f>
        <v>9455.0322465890404</v>
      </c>
      <c r="F32" s="68"/>
      <c r="G32" s="80">
        <f>SUM(G28:G31)</f>
        <v>22792.604746589044</v>
      </c>
      <c r="H32" s="69"/>
      <c r="I32" s="80">
        <f>SUM(I28:I31)</f>
        <v>29461.390996589042</v>
      </c>
      <c r="J32" s="69"/>
      <c r="K32" s="80">
        <f>SUM(K28:K31)</f>
        <v>36130.177246589039</v>
      </c>
      <c r="L32" s="69"/>
      <c r="M32" s="80">
        <f>SUM(M28:M31)</f>
        <v>49467.749746589048</v>
      </c>
    </row>
    <row r="33" spans="5:13" x14ac:dyDescent="0.2">
      <c r="G33" s="63"/>
      <c r="H33" s="67"/>
      <c r="I33" s="63"/>
      <c r="J33" s="67"/>
      <c r="K33" s="63"/>
      <c r="L33" s="67"/>
      <c r="M33" s="63"/>
    </row>
    <row r="34" spans="5:13" x14ac:dyDescent="0.2">
      <c r="E34" s="39">
        <f>+E15+E25+E32</f>
        <v>204963.89214658903</v>
      </c>
      <c r="G34" s="39">
        <f>+G15+G25+G32</f>
        <v>311898.46464658901</v>
      </c>
      <c r="H34" s="67"/>
      <c r="I34" s="39">
        <f>+I15+I25+I32</f>
        <v>365365.75089658902</v>
      </c>
      <c r="J34" s="67"/>
      <c r="K34" s="39">
        <f>+K15+K25+K32</f>
        <v>418833.03714658902</v>
      </c>
      <c r="L34" s="67"/>
      <c r="M34" s="39">
        <f>+M15+M25+M32</f>
        <v>525767.60964658903</v>
      </c>
    </row>
    <row r="38" spans="5:13" x14ac:dyDescent="0.2">
      <c r="I38" s="65"/>
      <c r="K38" s="65"/>
      <c r="M38" s="65">
        <f>+E15+E25+EFQ32</f>
        <v>195508.85989999998</v>
      </c>
    </row>
  </sheetData>
  <mergeCells count="1">
    <mergeCell ref="C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15A5-C702-4746-846D-FAA3728D351F}">
  <dimension ref="A3:I31"/>
  <sheetViews>
    <sheetView showGridLines="0" zoomScale="110" zoomScaleNormal="110" workbookViewId="0">
      <selection activeCell="H11" sqref="H11"/>
    </sheetView>
  </sheetViews>
  <sheetFormatPr defaultColWidth="11.42578125" defaultRowHeight="12.75" x14ac:dyDescent="0.2"/>
  <cols>
    <col min="2" max="2" width="15.42578125" bestFit="1" customWidth="1"/>
    <col min="4" max="4" width="4.7109375" customWidth="1"/>
    <col min="6" max="6" width="4" customWidth="1"/>
    <col min="8" max="8" width="4.140625" customWidth="1"/>
  </cols>
  <sheetData>
    <row r="3" spans="1:9" x14ac:dyDescent="0.2">
      <c r="F3" s="94"/>
      <c r="G3" s="95" t="s">
        <v>210</v>
      </c>
      <c r="H3" s="94"/>
      <c r="I3" s="94"/>
    </row>
    <row r="4" spans="1:9" x14ac:dyDescent="0.2">
      <c r="A4" s="23" t="s">
        <v>172</v>
      </c>
      <c r="F4" s="94"/>
    </row>
    <row r="5" spans="1:9" x14ac:dyDescent="0.2">
      <c r="B5" t="s">
        <v>20</v>
      </c>
      <c r="C5" s="32">
        <v>5136.42</v>
      </c>
      <c r="E5" s="32">
        <v>4179.54</v>
      </c>
      <c r="F5" s="94"/>
      <c r="G5" s="32">
        <v>5331</v>
      </c>
      <c r="I5" s="88">
        <v>4368</v>
      </c>
    </row>
    <row r="6" spans="1:9" x14ac:dyDescent="0.2">
      <c r="B6" t="s">
        <v>169</v>
      </c>
      <c r="C6" s="32">
        <v>856.07</v>
      </c>
      <c r="E6" s="32">
        <v>696.59</v>
      </c>
      <c r="F6" s="94"/>
      <c r="G6" s="32">
        <v>888.5</v>
      </c>
      <c r="I6" s="88">
        <v>728</v>
      </c>
    </row>
    <row r="7" spans="1:9" x14ac:dyDescent="0.2">
      <c r="B7" t="s">
        <v>204</v>
      </c>
      <c r="C7" s="32">
        <v>0</v>
      </c>
      <c r="E7" s="32">
        <v>0</v>
      </c>
      <c r="F7" s="94"/>
      <c r="G7" s="32">
        <v>0</v>
      </c>
      <c r="I7" s="88" t="s">
        <v>208</v>
      </c>
    </row>
    <row r="8" spans="1:9" x14ac:dyDescent="0.2">
      <c r="B8" t="s">
        <v>170</v>
      </c>
      <c r="C8" s="32">
        <v>599.24900000000002</v>
      </c>
      <c r="E8" s="32">
        <v>487.61300000000006</v>
      </c>
      <c r="F8" s="94"/>
      <c r="G8" s="32">
        <v>621.95000000000005</v>
      </c>
      <c r="I8" s="88">
        <v>509.6</v>
      </c>
    </row>
    <row r="9" spans="1:9" x14ac:dyDescent="0.2">
      <c r="B9" s="2" t="s">
        <v>171</v>
      </c>
      <c r="C9" s="33">
        <v>599.24900000000002</v>
      </c>
      <c r="E9" s="33">
        <v>487.61300000000006</v>
      </c>
      <c r="F9" s="94"/>
      <c r="G9" s="33">
        <v>621.95000000000005</v>
      </c>
      <c r="I9" s="89">
        <v>509.6</v>
      </c>
    </row>
    <row r="10" spans="1:9" x14ac:dyDescent="0.2">
      <c r="B10" s="24" t="s">
        <v>177</v>
      </c>
      <c r="C10" s="36">
        <v>7190.9879999999994</v>
      </c>
      <c r="E10" s="36">
        <v>5851.3560000000007</v>
      </c>
      <c r="F10" s="94"/>
      <c r="G10" s="36">
        <v>7463.4</v>
      </c>
      <c r="I10" s="36">
        <v>6115.2</v>
      </c>
    </row>
    <row r="11" spans="1:9" x14ac:dyDescent="0.2">
      <c r="F11" s="94"/>
      <c r="I11" s="37"/>
    </row>
    <row r="12" spans="1:9" x14ac:dyDescent="0.2">
      <c r="A12" s="23" t="s">
        <v>173</v>
      </c>
      <c r="F12" s="94"/>
      <c r="I12" s="37"/>
    </row>
    <row r="13" spans="1:9" x14ac:dyDescent="0.2">
      <c r="B13" s="24" t="s">
        <v>137</v>
      </c>
      <c r="C13" s="32">
        <v>165.72640889383564</v>
      </c>
      <c r="E13" s="32">
        <v>133.34699879794522</v>
      </c>
      <c r="F13" s="94"/>
      <c r="G13" s="32">
        <v>172.31070955479456</v>
      </c>
      <c r="I13" s="88">
        <v>139.72</v>
      </c>
    </row>
    <row r="14" spans="1:9" x14ac:dyDescent="0.2">
      <c r="B14" s="24" t="s">
        <v>174</v>
      </c>
      <c r="C14" s="32">
        <v>1225.24</v>
      </c>
      <c r="E14" s="32">
        <v>918</v>
      </c>
      <c r="F14" s="94"/>
      <c r="G14" s="32">
        <v>1289.31</v>
      </c>
      <c r="I14" s="88">
        <v>974.36</v>
      </c>
    </row>
    <row r="15" spans="1:9" x14ac:dyDescent="0.2">
      <c r="B15" s="24" t="s">
        <v>175</v>
      </c>
      <c r="C15" s="2"/>
      <c r="E15" s="2"/>
      <c r="F15" s="94"/>
      <c r="G15" s="2"/>
      <c r="I15" s="90"/>
    </row>
    <row r="16" spans="1:9" x14ac:dyDescent="0.2">
      <c r="B16" s="24" t="s">
        <v>176</v>
      </c>
      <c r="C16" s="36">
        <v>1390.9664088938357</v>
      </c>
      <c r="E16" s="36">
        <v>1051.3469987979452</v>
      </c>
      <c r="F16" s="94"/>
      <c r="G16" s="36">
        <v>1461.6207095547945</v>
      </c>
      <c r="I16" s="36">
        <v>1114.08</v>
      </c>
    </row>
    <row r="17" spans="1:9" x14ac:dyDescent="0.2">
      <c r="F17" s="94"/>
      <c r="I17" s="37"/>
    </row>
    <row r="18" spans="1:9" x14ac:dyDescent="0.2">
      <c r="F18" s="94"/>
      <c r="I18" s="37"/>
    </row>
    <row r="19" spans="1:9" x14ac:dyDescent="0.2">
      <c r="B19" s="34" t="s">
        <v>178</v>
      </c>
      <c r="C19" s="59">
        <v>5800.0215911061641</v>
      </c>
      <c r="E19" s="59">
        <v>4800.0090012020555</v>
      </c>
      <c r="F19" s="94"/>
      <c r="G19" s="59">
        <v>6001.7792904452053</v>
      </c>
      <c r="I19" s="91">
        <v>5001.12</v>
      </c>
    </row>
    <row r="20" spans="1:9" x14ac:dyDescent="0.2">
      <c r="B20" s="37" t="s">
        <v>189</v>
      </c>
      <c r="C20" s="39">
        <v>200</v>
      </c>
      <c r="E20" s="39">
        <v>200</v>
      </c>
      <c r="F20" s="94"/>
      <c r="G20" s="39">
        <v>0</v>
      </c>
      <c r="I20" s="92" t="s">
        <v>209</v>
      </c>
    </row>
    <row r="21" spans="1:9" x14ac:dyDescent="0.2">
      <c r="B21" s="60" t="s">
        <v>206</v>
      </c>
      <c r="C21" s="61">
        <v>6000.0215911061641</v>
      </c>
      <c r="E21" s="61">
        <v>5000.0090012020555</v>
      </c>
      <c r="F21" s="94"/>
      <c r="G21" s="61">
        <v>6001.7792904452053</v>
      </c>
      <c r="I21" s="93">
        <v>5001.12</v>
      </c>
    </row>
    <row r="22" spans="1:9" x14ac:dyDescent="0.2">
      <c r="A22" s="23" t="s">
        <v>180</v>
      </c>
      <c r="F22" s="94"/>
      <c r="I22" s="37"/>
    </row>
    <row r="23" spans="1:9" x14ac:dyDescent="0.2">
      <c r="B23" s="24" t="s">
        <v>181</v>
      </c>
      <c r="C23" s="32">
        <v>497.24172639726038</v>
      </c>
      <c r="E23" s="32">
        <v>426.06536546575342</v>
      </c>
      <c r="F23" s="94"/>
      <c r="G23" s="32">
        <v>511.71532424657551</v>
      </c>
      <c r="I23" s="88">
        <v>440.08</v>
      </c>
    </row>
    <row r="24" spans="1:9" x14ac:dyDescent="0.2">
      <c r="B24" s="24" t="s">
        <v>166</v>
      </c>
      <c r="C24" s="32">
        <v>313.16916917808226</v>
      </c>
      <c r="E24" s="32">
        <v>254.82788972602742</v>
      </c>
      <c r="F24" s="94"/>
      <c r="G24" s="32">
        <v>325.0327739726028</v>
      </c>
      <c r="I24" s="88">
        <v>266.32</v>
      </c>
    </row>
    <row r="25" spans="1:9" x14ac:dyDescent="0.2">
      <c r="B25" s="24" t="s">
        <v>167</v>
      </c>
      <c r="C25" s="35">
        <v>322.5642442534247</v>
      </c>
      <c r="E25" s="35">
        <v>262.47272641780825</v>
      </c>
      <c r="F25" s="94"/>
      <c r="G25" s="35">
        <v>334.78375719178086</v>
      </c>
      <c r="I25" s="92">
        <v>274.31</v>
      </c>
    </row>
    <row r="26" spans="1:9" x14ac:dyDescent="0.2">
      <c r="B26" s="24" t="s">
        <v>168</v>
      </c>
      <c r="C26" s="33">
        <v>215.72963999999996</v>
      </c>
      <c r="E26" s="33">
        <v>175.54068000000001</v>
      </c>
      <c r="F26" s="94"/>
      <c r="G26" s="33">
        <v>223.90199999999999</v>
      </c>
      <c r="I26" s="89">
        <v>183.46</v>
      </c>
    </row>
    <row r="27" spans="1:9" x14ac:dyDescent="0.2">
      <c r="B27" s="24" t="s">
        <v>182</v>
      </c>
      <c r="C27" s="36">
        <v>1348.7047798287674</v>
      </c>
      <c r="E27" s="36">
        <v>1118.906661609589</v>
      </c>
      <c r="F27" s="94"/>
      <c r="G27" s="36">
        <v>1395.433855410959</v>
      </c>
      <c r="I27" s="36">
        <v>1164.17</v>
      </c>
    </row>
    <row r="28" spans="1:9" x14ac:dyDescent="0.2">
      <c r="F28" s="94"/>
      <c r="I28" s="37"/>
    </row>
    <row r="29" spans="1:9" x14ac:dyDescent="0.2">
      <c r="C29" s="36">
        <v>8539.692779828767</v>
      </c>
      <c r="E29" s="36">
        <v>6970.2626616095895</v>
      </c>
      <c r="F29" s="94"/>
      <c r="G29" s="36">
        <v>8858.8338554109578</v>
      </c>
      <c r="I29" s="36">
        <v>7279.37</v>
      </c>
    </row>
    <row r="30" spans="1:9" x14ac:dyDescent="0.2">
      <c r="F30" s="94"/>
    </row>
    <row r="31" spans="1:9" x14ac:dyDescent="0.2">
      <c r="C31" s="39">
        <f>+C21*4</f>
        <v>24000.086364424656</v>
      </c>
      <c r="E31" s="39">
        <f>+E21*4</f>
        <v>20000.036004808222</v>
      </c>
      <c r="F31" s="94"/>
      <c r="G31" s="39">
        <f>+G21*4</f>
        <v>24007.117161780821</v>
      </c>
      <c r="I31" s="39">
        <f>+I21*4</f>
        <v>20004.48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99FD-A187-499D-AF8F-27B76E0BDB71}">
  <dimension ref="A1:B3"/>
  <sheetViews>
    <sheetView workbookViewId="0">
      <selection activeCell="H11" sqref="H11"/>
    </sheetView>
  </sheetViews>
  <sheetFormatPr defaultColWidth="8.85546875" defaultRowHeight="12.75" x14ac:dyDescent="0.2"/>
  <cols>
    <col min="1" max="1" width="9.28515625" bestFit="1" customWidth="1"/>
  </cols>
  <sheetData>
    <row r="1" spans="1:2" x14ac:dyDescent="0.2">
      <c r="A1" t="s">
        <v>238</v>
      </c>
    </row>
    <row r="2" spans="1:2" x14ac:dyDescent="0.2">
      <c r="A2" s="46">
        <v>6.5887500000000002E-2</v>
      </c>
      <c r="B2" t="s">
        <v>239</v>
      </c>
    </row>
    <row r="3" spans="1:2" x14ac:dyDescent="0.2">
      <c r="A3">
        <v>2.5</v>
      </c>
      <c r="B3" t="s">
        <v>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8AF2-114D-4A3F-A969-0A375918D3FF}">
  <dimension ref="B3:I29"/>
  <sheetViews>
    <sheetView workbookViewId="0">
      <selection activeCell="H11" sqref="H11"/>
    </sheetView>
  </sheetViews>
  <sheetFormatPr defaultColWidth="8.85546875" defaultRowHeight="12.75" x14ac:dyDescent="0.2"/>
  <cols>
    <col min="2" max="2" width="17" bestFit="1" customWidth="1"/>
    <col min="3" max="3" width="16.140625" bestFit="1" customWidth="1"/>
    <col min="4" max="4" width="11.42578125" bestFit="1" customWidth="1"/>
    <col min="7" max="7" width="17" bestFit="1" customWidth="1"/>
    <col min="8" max="8" width="16.140625" bestFit="1" customWidth="1"/>
    <col min="9" max="9" width="11.42578125" bestFit="1" customWidth="1"/>
  </cols>
  <sheetData>
    <row r="3" spans="2:9" x14ac:dyDescent="0.2">
      <c r="B3" s="528" t="s">
        <v>179</v>
      </c>
      <c r="C3" s="528"/>
      <c r="D3" s="528"/>
      <c r="G3" s="528" t="s">
        <v>179</v>
      </c>
      <c r="H3" s="528"/>
      <c r="I3" s="528"/>
    </row>
    <row r="5" spans="2:9" x14ac:dyDescent="0.2">
      <c r="B5" s="23" t="s">
        <v>172</v>
      </c>
      <c r="G5" s="23" t="s">
        <v>172</v>
      </c>
    </row>
    <row r="6" spans="2:9" x14ac:dyDescent="0.2">
      <c r="C6" t="s">
        <v>20</v>
      </c>
      <c r="D6" s="32">
        <v>13518.66</v>
      </c>
      <c r="H6" t="s">
        <v>20</v>
      </c>
      <c r="I6" s="32">
        <v>13518.66</v>
      </c>
    </row>
    <row r="7" spans="2:9" x14ac:dyDescent="0.2">
      <c r="C7" t="s">
        <v>169</v>
      </c>
      <c r="D7" s="32">
        <v>2253.11</v>
      </c>
      <c r="H7" t="s">
        <v>169</v>
      </c>
      <c r="I7" s="32">
        <v>2253.11</v>
      </c>
    </row>
    <row r="8" spans="2:9" x14ac:dyDescent="0.2">
      <c r="C8" t="s">
        <v>170</v>
      </c>
      <c r="D8" s="32">
        <v>1577.1770000000001</v>
      </c>
      <c r="H8" t="s">
        <v>170</v>
      </c>
      <c r="I8" s="32">
        <v>1577.1770000000001</v>
      </c>
    </row>
    <row r="9" spans="2:9" x14ac:dyDescent="0.2">
      <c r="C9" t="s">
        <v>171</v>
      </c>
      <c r="D9" s="32">
        <v>1577.1770000000001</v>
      </c>
      <c r="H9" t="s">
        <v>171</v>
      </c>
      <c r="I9" s="32">
        <v>1577.1770000000001</v>
      </c>
    </row>
    <row r="10" spans="2:9" x14ac:dyDescent="0.2">
      <c r="C10" s="111" t="s">
        <v>177</v>
      </c>
      <c r="D10" s="112">
        <v>18926.124</v>
      </c>
      <c r="H10" s="111" t="s">
        <v>177</v>
      </c>
      <c r="I10" s="112">
        <v>18926.124</v>
      </c>
    </row>
    <row r="12" spans="2:9" x14ac:dyDescent="0.2">
      <c r="B12" s="23" t="s">
        <v>173</v>
      </c>
      <c r="G12" s="23" t="s">
        <v>173</v>
      </c>
    </row>
    <row r="13" spans="2:9" x14ac:dyDescent="0.2">
      <c r="C13" s="24" t="s">
        <v>137</v>
      </c>
      <c r="D13" s="32">
        <v>450.53601671917818</v>
      </c>
      <c r="H13" s="24" t="s">
        <v>137</v>
      </c>
      <c r="I13" s="32">
        <v>450.53601671917818</v>
      </c>
    </row>
    <row r="14" spans="2:9" x14ac:dyDescent="0.2">
      <c r="C14" s="24" t="s">
        <v>174</v>
      </c>
      <c r="D14" s="32">
        <v>4403.79</v>
      </c>
      <c r="H14" s="24" t="s">
        <v>174</v>
      </c>
      <c r="I14" s="32">
        <v>4403.79</v>
      </c>
    </row>
    <row r="15" spans="2:9" x14ac:dyDescent="0.2">
      <c r="C15" s="24" t="s">
        <v>175</v>
      </c>
      <c r="D15" s="2">
        <v>0</v>
      </c>
      <c r="H15" s="24" t="s">
        <v>175</v>
      </c>
      <c r="I15" s="2">
        <v>0</v>
      </c>
    </row>
    <row r="16" spans="2:9" x14ac:dyDescent="0.2">
      <c r="C16" s="24" t="s">
        <v>176</v>
      </c>
      <c r="D16" s="36">
        <v>4854.3260167191784</v>
      </c>
      <c r="H16" s="24" t="s">
        <v>176</v>
      </c>
      <c r="I16" s="36">
        <v>4854.3260167191784</v>
      </c>
    </row>
    <row r="19" spans="2:9" x14ac:dyDescent="0.2">
      <c r="C19" s="34" t="s">
        <v>178</v>
      </c>
      <c r="D19" s="59">
        <v>14071.797983280821</v>
      </c>
      <c r="H19" s="34" t="s">
        <v>178</v>
      </c>
      <c r="I19" s="59">
        <v>14071.797983280821</v>
      </c>
    </row>
    <row r="20" spans="2:9" x14ac:dyDescent="0.2">
      <c r="C20" s="37" t="s">
        <v>189</v>
      </c>
      <c r="D20" s="39">
        <v>200</v>
      </c>
      <c r="H20" s="37" t="s">
        <v>189</v>
      </c>
      <c r="I20" s="39">
        <v>200</v>
      </c>
    </row>
    <row r="21" spans="2:9" x14ac:dyDescent="0.2">
      <c r="C21" s="60" t="s">
        <v>206</v>
      </c>
      <c r="D21" s="61">
        <v>14271.797983280821</v>
      </c>
      <c r="H21" s="60" t="s">
        <v>206</v>
      </c>
      <c r="I21" s="61">
        <v>14271.797983280821</v>
      </c>
    </row>
    <row r="22" spans="2:9" x14ac:dyDescent="0.2">
      <c r="B22" s="23" t="s">
        <v>180</v>
      </c>
      <c r="G22" s="23" t="s">
        <v>180</v>
      </c>
    </row>
    <row r="23" spans="2:9" x14ac:dyDescent="0.2">
      <c r="C23" s="24" t="s">
        <v>181</v>
      </c>
      <c r="D23" s="32">
        <v>1464.6908093424661</v>
      </c>
      <c r="H23" s="24" t="s">
        <v>181</v>
      </c>
      <c r="I23" s="32">
        <v>1464.6908093424661</v>
      </c>
    </row>
    <row r="24" spans="2:9" x14ac:dyDescent="0.2">
      <c r="C24" s="24" t="s">
        <v>166</v>
      </c>
      <c r="D24" s="32">
        <v>827.47779589041113</v>
      </c>
      <c r="H24" s="24" t="s">
        <v>166</v>
      </c>
      <c r="I24" s="32">
        <v>827.47779589041113</v>
      </c>
    </row>
    <row r="25" spans="2:9" x14ac:dyDescent="0.2">
      <c r="C25" s="24" t="s">
        <v>167</v>
      </c>
      <c r="D25" s="35">
        <v>1032.8577848304112</v>
      </c>
      <c r="H25" s="24" t="s">
        <v>167</v>
      </c>
      <c r="I25" s="35">
        <v>1032.8577848304112</v>
      </c>
    </row>
    <row r="26" spans="2:9" x14ac:dyDescent="0.2">
      <c r="C26" s="24" t="s">
        <v>168</v>
      </c>
      <c r="D26" s="33">
        <v>866.8164792</v>
      </c>
      <c r="H26" s="24" t="s">
        <v>168</v>
      </c>
      <c r="I26" s="33">
        <v>866.8164792</v>
      </c>
    </row>
    <row r="27" spans="2:9" x14ac:dyDescent="0.2">
      <c r="C27" s="24" t="s">
        <v>182</v>
      </c>
      <c r="D27" s="36">
        <v>4191.8428692632888</v>
      </c>
      <c r="H27" s="24" t="s">
        <v>182</v>
      </c>
      <c r="I27" s="36">
        <v>4191.8428692632888</v>
      </c>
    </row>
    <row r="29" spans="2:9" x14ac:dyDescent="0.2">
      <c r="C29" s="37" t="s">
        <v>211</v>
      </c>
      <c r="D29" s="36">
        <v>23317.966869263288</v>
      </c>
      <c r="H29" s="37" t="s">
        <v>211</v>
      </c>
      <c r="I29" s="36">
        <v>23317.966869263288</v>
      </c>
    </row>
  </sheetData>
  <mergeCells count="2">
    <mergeCell ref="B3:D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Asimilado </vt:lpstr>
      <vt:lpstr>Tablas</vt:lpstr>
      <vt:lpstr>Calculo</vt:lpstr>
      <vt:lpstr>Hoja1</vt:lpstr>
      <vt:lpstr>IMSS Calculo</vt:lpstr>
      <vt:lpstr>Simulacion</vt:lpstr>
      <vt:lpstr>Simulacion completa</vt:lpstr>
      <vt:lpstr>Simulacion Asimilado </vt:lpstr>
      <vt:lpstr>IMPUESTOS KOFILE</vt:lpstr>
      <vt:lpstr>Sheet5</vt:lpstr>
      <vt:lpstr>Sheet1</vt:lpstr>
      <vt:lpstr>Sheet2</vt:lpstr>
      <vt:lpstr>Sheet3</vt:lpstr>
      <vt:lpstr>33 Hilos </vt:lpstr>
      <vt:lpstr>Calculo!Print_Area</vt:lpstr>
      <vt:lpstr>'IMSS Calculo'!Print_Area</vt:lpstr>
      <vt:lpstr>Simulacion!Print_Area</vt:lpstr>
    </vt:vector>
  </TitlesOfParts>
  <Company>GTI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Nominax</dc:title>
  <dc:subject>Nominax</dc:subject>
  <dc:creator>Nominax</dc:creator>
  <cp:lastModifiedBy>Elizabeth García</cp:lastModifiedBy>
  <cp:lastPrinted>2020-11-30T20:04:32Z</cp:lastPrinted>
  <dcterms:created xsi:type="dcterms:W3CDTF">2009-09-10T17:23:06Z</dcterms:created>
  <dcterms:modified xsi:type="dcterms:W3CDTF">2026-08-12T18:20:18Z</dcterms:modified>
</cp:coreProperties>
</file>