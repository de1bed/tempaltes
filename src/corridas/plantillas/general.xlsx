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i unidad\Nomina\Internas ✔️\Reportes 2026\"/>
    </mc:Choice>
  </mc:AlternateContent>
  <xr:revisionPtr revIDLastSave="0" documentId="8_{2F204517-F739-4A87-95BA-2D012CE3ABA9}" xr6:coauthVersionLast="47" xr6:coauthVersionMax="47" xr10:uidLastSave="{00000000-0000-0000-0000-000000000000}"/>
  <bookViews>
    <workbookView xWindow="-108" yWindow="-108" windowWidth="23256" windowHeight="12456" tabRatio="878" activeTab="5" xr2:uid="{00000000-000D-0000-FFFF-FFFF00000000}"/>
  </bookViews>
  <sheets>
    <sheet name="Tablas" sheetId="20" r:id="rId1"/>
    <sheet name="Calculo" sheetId="1" r:id="rId2"/>
    <sheet name="Hoja1" sheetId="26" r:id="rId3"/>
    <sheet name="IMSS Calculo" sheetId="2" r:id="rId4"/>
    <sheet name="2021" sheetId="19" r:id="rId5"/>
    <sheet name="Simulacion" sheetId="3" r:id="rId6"/>
    <sheet name="Sheet5" sheetId="25" state="hidden" r:id="rId7"/>
    <sheet name="Sheet1" sheetId="21" state="hidden" r:id="rId8"/>
    <sheet name="Sheet2" sheetId="22" state="hidden" r:id="rId9"/>
    <sheet name="Sheet3" sheetId="23" state="hidden" r:id="rId10"/>
    <sheet name="33 Hilos " sheetId="24" state="hidden" r:id="rId11"/>
  </sheets>
  <definedNames>
    <definedName name="_xlnm.Print_Area" localSheetId="1">Calculo!$A$18:$K$239</definedName>
    <definedName name="_xlnm.Print_Area" localSheetId="3">'IMSS Calculo'!$A$61:$F$61</definedName>
    <definedName name="_xlnm.Print_Area" localSheetId="5">Simulacion!$B$2:$D$28</definedName>
  </definedNames>
  <calcPr calcId="191029"/>
</workbook>
</file>

<file path=xl/calcChain.xml><?xml version="1.0" encoding="utf-8"?>
<calcChain xmlns="http://schemas.openxmlformats.org/spreadsheetml/2006/main">
  <c r="D16" i="1" l="1"/>
  <c r="G3" i="2"/>
  <c r="D20" i="3" l="1"/>
  <c r="J38" i="1"/>
  <c r="J37" i="1"/>
  <c r="C7" i="26" l="1"/>
  <c r="C8" i="26"/>
  <c r="C3" i="26"/>
  <c r="C4" i="26"/>
  <c r="C5" i="26"/>
  <c r="C6" i="26"/>
  <c r="C2" i="26"/>
  <c r="D36" i="1" l="1"/>
  <c r="D35" i="1"/>
  <c r="D47" i="1" l="1"/>
  <c r="E41" i="1"/>
  <c r="D48" i="1" l="1"/>
  <c r="I31" i="20"/>
  <c r="J31" i="20" s="1"/>
  <c r="I30" i="20"/>
  <c r="J30" i="20" s="1"/>
  <c r="I29" i="20"/>
  <c r="J29" i="20" s="1"/>
  <c r="I28" i="20"/>
  <c r="J28" i="20" s="1"/>
  <c r="I27" i="20"/>
  <c r="J27" i="20" s="1"/>
  <c r="I26" i="20"/>
  <c r="J26" i="20" s="1"/>
  <c r="I25" i="20"/>
  <c r="J25" i="20" s="1"/>
  <c r="I24" i="20"/>
  <c r="J24" i="20" s="1"/>
  <c r="I23" i="20"/>
  <c r="J23" i="20" s="1"/>
  <c r="I22" i="20"/>
  <c r="J22" i="20" s="1"/>
  <c r="I21" i="20"/>
  <c r="J21" i="20" s="1"/>
  <c r="N21" i="20"/>
  <c r="Q14" i="1"/>
  <c r="Q15" i="1" s="1"/>
  <c r="F240" i="1" l="1"/>
  <c r="D240" i="1"/>
  <c r="D241" i="1" s="1"/>
  <c r="B31" i="20"/>
  <c r="C31" i="20" s="1"/>
  <c r="B30" i="20"/>
  <c r="C30" i="20" s="1"/>
  <c r="B29" i="20"/>
  <c r="B28" i="20"/>
  <c r="B27" i="20"/>
  <c r="B26" i="20"/>
  <c r="B25" i="20"/>
  <c r="B24" i="20"/>
  <c r="B23" i="20"/>
  <c r="B22" i="20"/>
  <c r="B21" i="20"/>
  <c r="C21" i="20" s="1"/>
  <c r="J39" i="1" l="1"/>
  <c r="D20" i="1" s="1"/>
  <c r="D3" i="2" s="1"/>
  <c r="E21" i="20"/>
  <c r="G21" i="20" s="1"/>
  <c r="D50" i="3"/>
  <c r="D46" i="3"/>
  <c r="J43" i="1" l="1"/>
  <c r="D37" i="3"/>
  <c r="D36" i="3"/>
  <c r="D38" i="3" l="1"/>
  <c r="D48" i="3" s="1"/>
  <c r="I31" i="22"/>
  <c r="G31" i="22"/>
  <c r="E31" i="22"/>
  <c r="C31" i="22"/>
  <c r="M32" i="21"/>
  <c r="K32" i="21"/>
  <c r="K34" i="21" s="1"/>
  <c r="I32" i="21"/>
  <c r="G32" i="21"/>
  <c r="E32" i="21"/>
  <c r="I24" i="21"/>
  <c r="I26" i="21" s="1"/>
  <c r="M21" i="21"/>
  <c r="K21" i="21"/>
  <c r="I21" i="21"/>
  <c r="G21" i="21"/>
  <c r="E21" i="21"/>
  <c r="M15" i="21"/>
  <c r="M34" i="21" s="1"/>
  <c r="K15" i="21"/>
  <c r="I15" i="21"/>
  <c r="I34" i="21" s="1"/>
  <c r="G15" i="21"/>
  <c r="G24" i="21" s="1"/>
  <c r="G26" i="21" s="1"/>
  <c r="E15" i="21"/>
  <c r="M38" i="21" s="1"/>
  <c r="X29" i="20"/>
  <c r="Y29" i="20" s="1"/>
  <c r="S29" i="20"/>
  <c r="T29" i="20" s="1"/>
  <c r="N29" i="20"/>
  <c r="O29" i="20" s="1"/>
  <c r="C29" i="20"/>
  <c r="X28" i="20"/>
  <c r="Y28" i="20" s="1"/>
  <c r="S28" i="20"/>
  <c r="T28" i="20" s="1"/>
  <c r="N28" i="20"/>
  <c r="O28" i="20" s="1"/>
  <c r="C28" i="20"/>
  <c r="X27" i="20"/>
  <c r="Y27" i="20" s="1"/>
  <c r="S27" i="20"/>
  <c r="T27" i="20" s="1"/>
  <c r="N27" i="20"/>
  <c r="O27" i="20" s="1"/>
  <c r="C27" i="20"/>
  <c r="X26" i="20"/>
  <c r="Y26" i="20" s="1"/>
  <c r="S26" i="20"/>
  <c r="T26" i="20" s="1"/>
  <c r="N26" i="20"/>
  <c r="O26" i="20" s="1"/>
  <c r="C26" i="20"/>
  <c r="X25" i="20"/>
  <c r="Y25" i="20" s="1"/>
  <c r="S25" i="20"/>
  <c r="T25" i="20" s="1"/>
  <c r="N25" i="20"/>
  <c r="O25" i="20" s="1"/>
  <c r="C25" i="20"/>
  <c r="X24" i="20"/>
  <c r="Y24" i="20" s="1"/>
  <c r="S24" i="20"/>
  <c r="T24" i="20" s="1"/>
  <c r="N24" i="20"/>
  <c r="O24" i="20" s="1"/>
  <c r="C24" i="20"/>
  <c r="X23" i="20"/>
  <c r="Y23" i="20" s="1"/>
  <c r="S23" i="20"/>
  <c r="T23" i="20" s="1"/>
  <c r="N23" i="20"/>
  <c r="O23" i="20" s="1"/>
  <c r="C23" i="20"/>
  <c r="X22" i="20"/>
  <c r="Y22" i="20" s="1"/>
  <c r="S22" i="20"/>
  <c r="T22" i="20" s="1"/>
  <c r="N22" i="20"/>
  <c r="O22" i="20" s="1"/>
  <c r="Q22" i="20" s="1"/>
  <c r="C22" i="20"/>
  <c r="E22" i="20" s="1"/>
  <c r="G22" i="20" s="1"/>
  <c r="X21" i="20"/>
  <c r="Y21" i="20" s="1"/>
  <c r="S21" i="20"/>
  <c r="T21" i="20" s="1"/>
  <c r="O21" i="20"/>
  <c r="Q21" i="20" s="1"/>
  <c r="K24" i="21" l="1"/>
  <c r="K26" i="21" s="1"/>
  <c r="D7" i="3"/>
  <c r="D31" i="3" s="1"/>
  <c r="E34" i="21"/>
  <c r="E24" i="21"/>
  <c r="E26" i="21" s="1"/>
  <c r="M24" i="21"/>
  <c r="M26" i="21" s="1"/>
  <c r="G34" i="21"/>
  <c r="D44" i="1"/>
  <c r="D71" i="1" s="1"/>
  <c r="E33" i="2"/>
  <c r="E35" i="2" s="1"/>
  <c r="D8" i="2"/>
  <c r="E8" i="2"/>
  <c r="D80" i="1" l="1"/>
  <c r="E37" i="1"/>
  <c r="D55" i="1" l="1"/>
  <c r="D219" i="1" l="1"/>
  <c r="D215" i="1"/>
  <c r="D213" i="1"/>
  <c r="D210" i="1"/>
  <c r="D212" i="1" s="1"/>
  <c r="D206" i="1"/>
  <c r="D204" i="1"/>
  <c r="D203" i="1"/>
  <c r="D214" i="1" l="1"/>
  <c r="D216" i="1" s="1"/>
  <c r="D205" i="1"/>
  <c r="D207" i="1" s="1"/>
  <c r="E45" i="1" l="1"/>
  <c r="E44" i="1"/>
  <c r="D53" i="2" l="1"/>
  <c r="D236" i="1" l="1"/>
  <c r="E48" i="2"/>
  <c r="D48" i="2"/>
  <c r="E53" i="2"/>
  <c r="D105" i="1"/>
  <c r="D103" i="1"/>
  <c r="E74" i="1"/>
  <c r="D74" i="1"/>
  <c r="D94" i="1"/>
  <c r="D92" i="1"/>
  <c r="D220" i="1"/>
  <c r="D224" i="1"/>
  <c r="D226" i="1"/>
  <c r="D72" i="1"/>
  <c r="D152" i="1"/>
  <c r="D121" i="1"/>
  <c r="D81" i="1"/>
  <c r="D102" i="1"/>
  <c r="D91" i="1"/>
  <c r="D73" i="1" l="1"/>
  <c r="J63" i="1"/>
  <c r="F74" i="1"/>
  <c r="D229" i="1"/>
  <c r="D230" i="1" s="1"/>
  <c r="D231" i="1" s="1"/>
  <c r="E71" i="1"/>
  <c r="D221" i="1"/>
  <c r="D223" i="1" s="1"/>
  <c r="D225" i="1" s="1"/>
  <c r="D227" i="1" s="1"/>
  <c r="E54" i="1"/>
  <c r="E72" i="1" s="1"/>
  <c r="F72" i="1" s="1"/>
  <c r="D150" i="1" s="1"/>
  <c r="D6" i="3"/>
  <c r="D49" i="3" l="1"/>
  <c r="D75" i="1"/>
  <c r="I85" i="1"/>
  <c r="F71" i="1"/>
  <c r="D119" i="1" s="1"/>
  <c r="D110" i="1" s="1"/>
  <c r="E75" i="1"/>
  <c r="D9" i="3"/>
  <c r="D153" i="1"/>
  <c r="D165" i="1" s="1"/>
  <c r="D167" i="1"/>
  <c r="D141" i="1"/>
  <c r="D154" i="1" s="1"/>
  <c r="E55" i="1"/>
  <c r="D79" i="1" s="1"/>
  <c r="D8" i="3"/>
  <c r="D10" i="3" s="1"/>
  <c r="D82" i="1" l="1"/>
  <c r="D84" i="1" s="1"/>
  <c r="E3" i="2"/>
  <c r="E25" i="2" s="1"/>
  <c r="E26" i="2" s="1"/>
  <c r="D21" i="2"/>
  <c r="D122" i="1"/>
  <c r="D134" i="1" s="1"/>
  <c r="D136" i="1"/>
  <c r="F75" i="1"/>
  <c r="E73" i="1"/>
  <c r="F73" i="1" s="1"/>
  <c r="D155" i="1"/>
  <c r="D159" i="1" s="1"/>
  <c r="I81" i="1"/>
  <c r="D147" i="1"/>
  <c r="D112" i="1"/>
  <c r="D113" i="1" s="1"/>
  <c r="D123" i="1"/>
  <c r="D114" i="1"/>
  <c r="D145" i="1"/>
  <c r="D143" i="1"/>
  <c r="D144" i="1" s="1"/>
  <c r="D116" i="1"/>
  <c r="D98" i="1" l="1"/>
  <c r="D100" i="1" s="1"/>
  <c r="D104" i="1" s="1"/>
  <c r="D106" i="1" s="1"/>
  <c r="E27" i="2"/>
  <c r="E21" i="2"/>
  <c r="E23" i="2" s="1"/>
  <c r="E37" i="2"/>
  <c r="E39" i="2" s="1"/>
  <c r="E50" i="2" s="1"/>
  <c r="D26" i="3"/>
  <c r="D24" i="3"/>
  <c r="J59" i="1"/>
  <c r="D124" i="1"/>
  <c r="D126" i="1" s="1"/>
  <c r="D127" i="1" s="1"/>
  <c r="D161" i="1"/>
  <c r="D157" i="1"/>
  <c r="D158" i="1" s="1"/>
  <c r="D160" i="1" s="1"/>
  <c r="D7" i="2"/>
  <c r="D9" i="2" s="1"/>
  <c r="D23" i="2"/>
  <c r="D47" i="2" s="1"/>
  <c r="D5" i="2"/>
  <c r="D43" i="2" s="1"/>
  <c r="D17" i="2"/>
  <c r="E29" i="2"/>
  <c r="E31" i="2" s="1"/>
  <c r="E49" i="2" s="1"/>
  <c r="E17" i="2"/>
  <c r="E7" i="2"/>
  <c r="E9" i="2" s="1"/>
  <c r="E5" i="2"/>
  <c r="E43" i="2" s="1"/>
  <c r="E13" i="2"/>
  <c r="E15" i="2" s="1"/>
  <c r="E45" i="2" s="1"/>
  <c r="D146" i="1"/>
  <c r="D148" i="1" s="1"/>
  <c r="D115" i="1"/>
  <c r="D117" i="1" s="1"/>
  <c r="D86" i="1" l="1"/>
  <c r="E56" i="2"/>
  <c r="I83" i="1" s="1"/>
  <c r="E19" i="2"/>
  <c r="E46" i="2" s="1"/>
  <c r="D19" i="2"/>
  <c r="D46" i="2" s="1"/>
  <c r="D128" i="1"/>
  <c r="D129" i="1" s="1"/>
  <c r="D130" i="1"/>
  <c r="D162" i="1"/>
  <c r="D164" i="1" s="1"/>
  <c r="D166" i="1" s="1"/>
  <c r="D168" i="1" s="1"/>
  <c r="G72" i="1" s="1"/>
  <c r="D11" i="2"/>
  <c r="D44" i="2" s="1"/>
  <c r="D13" i="2"/>
  <c r="D15" i="2" s="1"/>
  <c r="D45" i="2" s="1"/>
  <c r="E11" i="2"/>
  <c r="E44" i="2" s="1"/>
  <c r="D88" i="1"/>
  <c r="D85" i="1"/>
  <c r="H73" i="1" l="1"/>
  <c r="E51" i="2"/>
  <c r="D25" i="3"/>
  <c r="J61" i="1"/>
  <c r="D131" i="1"/>
  <c r="D133" i="1" s="1"/>
  <c r="D135" i="1" s="1"/>
  <c r="D137" i="1" s="1"/>
  <c r="G71" i="1" s="1"/>
  <c r="D51" i="2"/>
  <c r="D54" i="2" s="1"/>
  <c r="D61" i="1" s="1"/>
  <c r="D87" i="1"/>
  <c r="D89" i="1" s="1"/>
  <c r="D93" i="1" s="1"/>
  <c r="D95" i="1" l="1"/>
  <c r="G73" i="1" s="1"/>
  <c r="E54" i="2"/>
  <c r="I79" i="1" s="1"/>
  <c r="D58" i="1" l="1"/>
  <c r="D59" i="1"/>
  <c r="I87" i="1"/>
  <c r="J57" i="1"/>
  <c r="J66" i="1" s="1"/>
  <c r="D23" i="3"/>
  <c r="D27" i="3" s="1"/>
  <c r="D13" i="3"/>
  <c r="D14" i="3" l="1"/>
  <c r="D16" i="3" s="1"/>
  <c r="D19" i="3" s="1"/>
  <c r="D21" i="3" s="1"/>
  <c r="F21" i="3" s="1"/>
  <c r="D62" i="1"/>
  <c r="D67" i="1" s="1"/>
  <c r="D29" i="3"/>
  <c r="D47" i="3" s="1"/>
  <c r="D5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Seguro Social</author>
  </authors>
  <commentList>
    <comment ref="D16" authorId="0" shapeId="0" xr:uid="{D73D2502-DC33-7943-BD09-48A423267AA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Actualizada para 2026
</t>
        </r>
      </text>
    </comment>
    <comment ref="F188" authorId="1" shapeId="0" xr:uid="{BCEE31D1-21C7-4F28-B21D-7FC033B2371A}">
      <text>
        <r>
          <rPr>
            <b/>
            <sz val="9"/>
            <color indexed="81"/>
            <rFont val="Tahoma"/>
            <family val="2"/>
          </rPr>
          <t>Seguro Social: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MONTO DE SUB 
ENERO $536.22  
</t>
        </r>
        <r>
          <rPr>
            <b/>
            <sz val="14"/>
            <color indexed="81"/>
            <rFont val="Tahoma"/>
            <family val="2"/>
          </rPr>
          <t>FEBRERO CAMBIAR MONTO A $535.65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33" authorId="0" shapeId="0" xr:uid="{227150BB-1F3A-5F4D-8EBC-68CFE297E53B}">
      <text>
        <r>
          <rPr>
            <b/>
            <sz val="10"/>
            <color rgb="FF000000"/>
            <rFont val="Tahoma"/>
            <family val="2"/>
          </rPr>
          <t>Microsoft Office Us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i/>
            <sz val="10"/>
            <color rgb="FF000000"/>
            <rFont val="Tahoma"/>
            <family val="2"/>
          </rPr>
          <t>REVISAR SI TENDRA COMEDOR, SINO ELIMINAR</t>
        </r>
      </text>
    </comment>
    <comment ref="D41" authorId="0" shapeId="0" xr:uid="{DA8095BA-9D8F-5648-B08F-A642464F0402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UTILIDAD SUGERIDA POR FINANZAS </t>
        </r>
      </text>
    </comment>
  </commentList>
</comments>
</file>

<file path=xl/sharedStrings.xml><?xml version="1.0" encoding="utf-8"?>
<sst xmlns="http://schemas.openxmlformats.org/spreadsheetml/2006/main" count="475" uniqueCount="249">
  <si>
    <t>Periodo de Nómina</t>
  </si>
  <si>
    <t>Días de Pago</t>
  </si>
  <si>
    <t>Días Naturales</t>
  </si>
  <si>
    <t>Domingos</t>
  </si>
  <si>
    <t>Salarios Mínimos Vigentes</t>
  </si>
  <si>
    <t>Area Geográfica de Empresa</t>
  </si>
  <si>
    <t>Distrito Federal</t>
  </si>
  <si>
    <t>Datos de Empleado</t>
  </si>
  <si>
    <t>Salario Diario</t>
  </si>
  <si>
    <t>Salario Diario Integrado</t>
  </si>
  <si>
    <t>Años de Antigüedad en fecha de Baja</t>
  </si>
  <si>
    <t>Crédito Infonavit</t>
  </si>
  <si>
    <t>No Tiene</t>
  </si>
  <si>
    <t>Cuota Fija</t>
  </si>
  <si>
    <t>Valor de Crédito</t>
  </si>
  <si>
    <t>Días de Bimestre</t>
  </si>
  <si>
    <t>#</t>
  </si>
  <si>
    <t>Concepto</t>
  </si>
  <si>
    <t>Percepción</t>
  </si>
  <si>
    <t>Exento</t>
  </si>
  <si>
    <t>Sueldo Ordinario</t>
  </si>
  <si>
    <t>Séptimo Día</t>
  </si>
  <si>
    <t>Horas Extras Dobles</t>
  </si>
  <si>
    <t>Horas Extras Triples</t>
  </si>
  <si>
    <t>Festivo Trabajado</t>
  </si>
  <si>
    <t>Descanso Trabajado</t>
  </si>
  <si>
    <t>Prima Dominical</t>
  </si>
  <si>
    <t>Ajuste de Faltas</t>
  </si>
  <si>
    <t>Vacaciones</t>
  </si>
  <si>
    <t>Prima Vacacional</t>
  </si>
  <si>
    <t>Aguinaldo</t>
  </si>
  <si>
    <t>Reparto de Utilidades (PTU)</t>
  </si>
  <si>
    <t>Bono de Asistencia</t>
  </si>
  <si>
    <t>Bono de Puntualidad</t>
  </si>
  <si>
    <t>Otras Percepciones</t>
  </si>
  <si>
    <t>Despensa (Dinero)</t>
  </si>
  <si>
    <t>Gratificación por Separación</t>
  </si>
  <si>
    <t>Indemnización</t>
  </si>
  <si>
    <t>Prima de Antigüedad</t>
  </si>
  <si>
    <t>Total de Percepciones:</t>
  </si>
  <si>
    <t>Deducciones</t>
  </si>
  <si>
    <t>ISR (ISPT)</t>
  </si>
  <si>
    <t>Neto de ISR Periódico y SUBE + ISR de Anuales y Separación</t>
  </si>
  <si>
    <t>Subsidio al Empleo</t>
  </si>
  <si>
    <t>Neto de ISR Periódico y SUBE</t>
  </si>
  <si>
    <t>Crédito INFONAVIT</t>
  </si>
  <si>
    <t>Percepciones</t>
  </si>
  <si>
    <t>Gravado</t>
  </si>
  <si>
    <t>ISR</t>
  </si>
  <si>
    <t>SUBE</t>
  </si>
  <si>
    <t>Percepciones Anuales (Art. 142 RISR)</t>
  </si>
  <si>
    <t>Pagos por Separación</t>
  </si>
  <si>
    <t>Percepciones Periódicas</t>
  </si>
  <si>
    <t>ISR de Percepciones Periódicas</t>
  </si>
  <si>
    <t>Percepciones Gravadas</t>
  </si>
  <si>
    <t>( / ) Días de Periodo de Pago</t>
  </si>
  <si>
    <t>(X) Factor Mensual</t>
  </si>
  <si>
    <t>(=) Gravadas Promedio Mensual</t>
  </si>
  <si>
    <t>Tabla Art. 113 LISR</t>
  </si>
  <si>
    <t>(-) Límite Inferior</t>
  </si>
  <si>
    <t>(=) Excedente</t>
  </si>
  <si>
    <t>(X) Tasa</t>
  </si>
  <si>
    <t>(=) Impuesto Marginal</t>
  </si>
  <si>
    <t>(+) Cuota Fija</t>
  </si>
  <si>
    <t>(=) ISR Promedio Mensual</t>
  </si>
  <si>
    <t>(/ ) Factor Mensual</t>
  </si>
  <si>
    <t>(X) Días de Periodo de Pago</t>
  </si>
  <si>
    <t>(=) ISR de Periodo</t>
  </si>
  <si>
    <t>Gravadas Promedio Mensual</t>
  </si>
  <si>
    <t>Tabla Subsidio al Empleo</t>
  </si>
  <si>
    <t>(/) Factor Mensual</t>
  </si>
  <si>
    <t>(=) Subsidio del Periodo</t>
  </si>
  <si>
    <t>ISR  de Anuales (Art. 142 RISR)</t>
  </si>
  <si>
    <t>Un Salario Mensual</t>
  </si>
  <si>
    <t>(=) ISR de Un Salario Mensual</t>
  </si>
  <si>
    <t>Impuesto "A"</t>
  </si>
  <si>
    <t>Percepciones Anuales Gravadas</t>
  </si>
  <si>
    <t>(/) Factor Anual</t>
  </si>
  <si>
    <t>(=) Anuales Mensualizadas</t>
  </si>
  <si>
    <t>(+) Salario Mensual</t>
  </si>
  <si>
    <t>(=) Promedio Mensual</t>
  </si>
  <si>
    <t>Impuesto "B"</t>
  </si>
  <si>
    <t>Diferencia de Impuestos</t>
  </si>
  <si>
    <t>Impuesto "B" - Impuesto "A"</t>
  </si>
  <si>
    <t>(/) Anuales Mensualizadas</t>
  </si>
  <si>
    <t>(=) Tasa aplicable</t>
  </si>
  <si>
    <t>(X)  Percepciones Anuales Gravadas</t>
  </si>
  <si>
    <t>(=) ISR  de Anuales</t>
  </si>
  <si>
    <t>ISR  Pagos Separación (Art. 142 RISR)</t>
  </si>
  <si>
    <t>Pagos por Separación Gravados</t>
  </si>
  <si>
    <t>(X)  Pagos por Separación Gravados</t>
  </si>
  <si>
    <t>(=) ISR  de Pagos por Separación</t>
  </si>
  <si>
    <t>Límite Inferior</t>
  </si>
  <si>
    <t>Superior</t>
  </si>
  <si>
    <t>Tasa</t>
  </si>
  <si>
    <t>Subsidio para el Empleo</t>
  </si>
  <si>
    <t>Subsidio</t>
  </si>
  <si>
    <t>Salario Base de Cotización</t>
  </si>
  <si>
    <t>Crédito INFONAVIT - Porcentaje</t>
  </si>
  <si>
    <t>(X) Porcentaje</t>
  </si>
  <si>
    <t>(=) Aportación Diaria</t>
  </si>
  <si>
    <t>(X) Días de Periodo</t>
  </si>
  <si>
    <t>(=) Rentención INFONAVIT</t>
  </si>
  <si>
    <t>Crédito INFONAVIT - Cuota Fija</t>
  </si>
  <si>
    <t>Cuota Fija Mensual</t>
  </si>
  <si>
    <t>(X) Meses de Bimestre</t>
  </si>
  <si>
    <t>(=) Cuota Fija Bimestral</t>
  </si>
  <si>
    <t>(/) Días de Bimestre</t>
  </si>
  <si>
    <t>Crédito INFONAVIT - Veces SMGDF</t>
  </si>
  <si>
    <t>Salario Mínimo General DF</t>
  </si>
  <si>
    <t>(X) Veces</t>
  </si>
  <si>
    <t>(=) Cuota Mensual</t>
  </si>
  <si>
    <t>521 - Suma de Percepciones Periódicas</t>
  </si>
  <si>
    <t>522 - Suma de Exentos Periódicos</t>
  </si>
  <si>
    <t>523 - ISR Antes de Subsidio</t>
  </si>
  <si>
    <t>524 - Subsidio al Empleo Acreditado</t>
  </si>
  <si>
    <t>Posición del Periodo en el Mes</t>
  </si>
  <si>
    <t>(-) Acumulado Mensual ISR (523)</t>
  </si>
  <si>
    <t>(=) ISR Ajustado</t>
  </si>
  <si>
    <t>Acumulado Mensual</t>
  </si>
  <si>
    <t>Suma Periódicas + Acumulado</t>
  </si>
  <si>
    <t>(-) Acumulado de Subsidio (524)</t>
  </si>
  <si>
    <t>(=) Subsidio Ajustado</t>
  </si>
  <si>
    <t>Acumulados Mensuales para Ajuste</t>
  </si>
  <si>
    <t>IMSS Empleado</t>
  </si>
  <si>
    <t>Salario Base de Cotizacion</t>
  </si>
  <si>
    <t>(X) Tasa Art. 25</t>
  </si>
  <si>
    <t>(X) Tasa Art. 106-2</t>
  </si>
  <si>
    <t>(=)Cuota Diaria Art. 106-2 (E y M)</t>
  </si>
  <si>
    <t>(X) Tasa Art 107</t>
  </si>
  <si>
    <t>(X) Tasa Invalidez y Vida</t>
  </si>
  <si>
    <t>(=) Cuota Diaria Invalidez y Vida</t>
  </si>
  <si>
    <t>(X) Tasa Cesantia y Vejez</t>
  </si>
  <si>
    <t>(=) Cuota Diaria Cesantia y Vejez</t>
  </si>
  <si>
    <t>(+) Cuota Invalidez y Vida</t>
  </si>
  <si>
    <t>(+) Cuota Cesantia y Vejez</t>
  </si>
  <si>
    <t>(=) Cuota Diara Empleado</t>
  </si>
  <si>
    <t>(X) Dias de Periodo</t>
  </si>
  <si>
    <t>(=) IMSS Empleado</t>
  </si>
  <si>
    <t xml:space="preserve"> </t>
  </si>
  <si>
    <t>CALCULO SALARIO A EMPLEADO</t>
  </si>
  <si>
    <t>IMSS Trabajador</t>
  </si>
  <si>
    <t>Salario NETO Semanal</t>
  </si>
  <si>
    <t>Total Semanal</t>
  </si>
  <si>
    <t>INFONAVIT EMPRESA</t>
  </si>
  <si>
    <t>5% INFONAVIT</t>
  </si>
  <si>
    <t>Total Infonavit</t>
  </si>
  <si>
    <t>IMPUESTO ESTATAL</t>
  </si>
  <si>
    <t>Total Percepciones</t>
  </si>
  <si>
    <t>SDI</t>
  </si>
  <si>
    <t>Factor Integracion</t>
  </si>
  <si>
    <t>Variables</t>
  </si>
  <si>
    <t>Total SDI</t>
  </si>
  <si>
    <t>(X) Guarderias y Prestaciones</t>
  </si>
  <si>
    <t>(+) Guarderias Prestacion</t>
  </si>
  <si>
    <t>RCV Patronal</t>
  </si>
  <si>
    <t>(=) Prestaciones en Dinero</t>
  </si>
  <si>
    <t>(=) Pensionados y Beneficiarios Art. 107 (E y M)</t>
  </si>
  <si>
    <t>(=) Guarderia y Prestaciones</t>
  </si>
  <si>
    <t>Salario Minimo Gral</t>
  </si>
  <si>
    <t>(=) Cuota Fija Enfermedad y Mater Empresa</t>
  </si>
  <si>
    <t>(X) Prima de Riesgo</t>
  </si>
  <si>
    <t>(=) Monto Prima de Riesgo</t>
  </si>
  <si>
    <t>Prestaciones Dinero Art. 25</t>
  </si>
  <si>
    <t>(=) Enfermedad Y Mat 106-2</t>
  </si>
  <si>
    <t>(=) Pensionados y Benefic  Art. 107</t>
  </si>
  <si>
    <t>(=) Prima de Riesgo Patronal</t>
  </si>
  <si>
    <t>(=) Cuota Fija Enfermedad y Maternidad</t>
  </si>
  <si>
    <t>IMPUESTOS PATRONALES</t>
  </si>
  <si>
    <t>IMSS Patronal</t>
  </si>
  <si>
    <t>Infonavit</t>
  </si>
  <si>
    <t>RCV</t>
  </si>
  <si>
    <t>Impuesto Estatal</t>
  </si>
  <si>
    <t>Septimo Dia</t>
  </si>
  <si>
    <t>Bono Puntualidad</t>
  </si>
  <si>
    <t>Bono Asistencia</t>
  </si>
  <si>
    <t>Percepcion:</t>
  </si>
  <si>
    <t>Deduccion:</t>
  </si>
  <si>
    <t>ISPT Trabajador</t>
  </si>
  <si>
    <t>Ajuste Moneda</t>
  </si>
  <si>
    <t>Total Deducciones</t>
  </si>
  <si>
    <t>Total Percepcion</t>
  </si>
  <si>
    <t>Neto a Pagar</t>
  </si>
  <si>
    <t>SIMULACION SALARIO</t>
  </si>
  <si>
    <t>Impuesto Patronal</t>
  </si>
  <si>
    <t>IMSS Empresa</t>
  </si>
  <si>
    <t>Total Patronales</t>
  </si>
  <si>
    <t>Despensa (Especie)</t>
  </si>
  <si>
    <t>Salario Minimo</t>
  </si>
  <si>
    <t>(-) 3 UMA</t>
  </si>
  <si>
    <t xml:space="preserve">Enero </t>
  </si>
  <si>
    <t>Monto UMA</t>
  </si>
  <si>
    <t>Dias Periodo Mensual</t>
  </si>
  <si>
    <t>UMA</t>
  </si>
  <si>
    <t>Sodexo</t>
  </si>
  <si>
    <t>EMPRESA</t>
  </si>
  <si>
    <t>2021 A</t>
  </si>
  <si>
    <t>Prima RT 2021</t>
  </si>
  <si>
    <t>PROPUESTA</t>
  </si>
  <si>
    <t>LEY</t>
  </si>
  <si>
    <t>Tabla 1</t>
  </si>
  <si>
    <t>Tabla 2</t>
  </si>
  <si>
    <t>Tabla 3 - Gerencial</t>
  </si>
  <si>
    <t>Niveles 1 a 4 del Tabulador</t>
  </si>
  <si>
    <t>Niveles 5 y 6 del Tabulador</t>
  </si>
  <si>
    <t>Nivel 7 del Tabulador</t>
  </si>
  <si>
    <t>Años</t>
  </si>
  <si>
    <t>Prima Vac</t>
  </si>
  <si>
    <t>Factor de Integracion</t>
  </si>
  <si>
    <t>T. Extra</t>
  </si>
  <si>
    <t>Prima</t>
  </si>
  <si>
    <t>Neto + Sodexo</t>
  </si>
  <si>
    <t xml:space="preserve">Compensacion </t>
  </si>
  <si>
    <t xml:space="preserve"> $                  -  </t>
  </si>
  <si>
    <t xml:space="preserve">                     -  </t>
  </si>
  <si>
    <t>SIN  SODEX</t>
  </si>
  <si>
    <t>Costo nomina</t>
  </si>
  <si>
    <t>provision de FQ</t>
  </si>
  <si>
    <t>Comedor</t>
  </si>
  <si>
    <t>Precio</t>
  </si>
  <si>
    <t>Meses</t>
  </si>
  <si>
    <t>Glucometro</t>
  </si>
  <si>
    <t>Cubrebocas</t>
  </si>
  <si>
    <t xml:space="preserve">Total </t>
  </si>
  <si>
    <t>Jornada</t>
  </si>
  <si>
    <t>Utilidad</t>
  </si>
  <si>
    <t>OVH</t>
  </si>
  <si>
    <t>Costo Hra</t>
  </si>
  <si>
    <t>Costos EPP</t>
  </si>
  <si>
    <t>Provision de FQ</t>
  </si>
  <si>
    <t>Costo Hra Cliente</t>
  </si>
  <si>
    <t>Tabla de % para calculos de retiro, cesantia y vejes en edad avanzada</t>
  </si>
  <si>
    <t>Limite inferior</t>
  </si>
  <si>
    <t>Limite superior</t>
  </si>
  <si>
    <t>Limite inferior salarios</t>
  </si>
  <si>
    <t>Limite superio salario</t>
  </si>
  <si>
    <t>Porcentaje aplicable</t>
  </si>
  <si>
    <t>En adelante</t>
  </si>
  <si>
    <t>UMA PROYECTADA</t>
  </si>
  <si>
    <t xml:space="preserve">NOTA: </t>
  </si>
  <si>
    <t>El primer renglon y el 1.01 estan en VSM</t>
  </si>
  <si>
    <t>Del 1.5 al 4.01 son UMAS</t>
  </si>
  <si>
    <t>y el limite superior en salario es el tope de 25 UMAS</t>
  </si>
  <si>
    <t xml:space="preserve">Nota </t>
  </si>
  <si>
    <t>Hyundai</t>
  </si>
  <si>
    <t>Todas las demas</t>
  </si>
  <si>
    <t>ESTIMACION de INCREMENTO del 10%</t>
  </si>
  <si>
    <t>LA UMA YA ESTA ACTUALIZADA A 2025 (REAL)</t>
  </si>
  <si>
    <t xml:space="preserve">NUEVO TOPE SALARIAL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</si>
</sst>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%"/>
    <numFmt numFmtId="167" formatCode="_(&quot;$&quot;* #,##0.0000_);_(&quot;$&quot;* \(#,##0.0000\);_(&quot;$&quot;* &quot;-&quot;??_);_(@_)"/>
    <numFmt numFmtId="168" formatCode="0.00000%"/>
    <numFmt numFmtId="169" formatCode="_(* #,##0.0000_);_(* \(#,##0.0000\);_(* &quot;-&quot;??_);_(@_)"/>
    <numFmt numFmtId="170" formatCode="_(* #,##0.00000_);_(* \(#,##0.00000\);_(* &quot;-&quot;??_);_(@_)"/>
    <numFmt numFmtId="171" formatCode="_(* #,##0_);_(* \(#,##0\);_(* &quot;-&quot;??_);_(@_)"/>
    <numFmt numFmtId="172" formatCode="0.0000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rgb="FF000000"/>
      <name val="Tahoma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b/>
      <sz val="8"/>
      <color indexed="9"/>
      <name val="Arial"/>
      <family val="2"/>
    </font>
    <font>
      <sz val="8"/>
      <color indexed="23"/>
      <name val="Arial"/>
      <family val="2"/>
    </font>
    <font>
      <b/>
      <sz val="8"/>
      <color indexed="23"/>
      <name val="Arial"/>
      <family val="2"/>
    </font>
    <font>
      <b/>
      <sz val="8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i/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indexed="9"/>
      <name val="Arial"/>
      <family val="2"/>
    </font>
    <font>
      <b/>
      <i/>
      <sz val="8"/>
      <color theme="0"/>
      <name val="Arial"/>
      <family val="2"/>
    </font>
    <font>
      <sz val="11"/>
      <color rgb="FF000000"/>
      <name val="Calibri"/>
      <family val="2"/>
      <scheme val="minor"/>
    </font>
    <font>
      <sz val="10"/>
      <name val="Courier"/>
      <family val="3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indexed="81"/>
      <name val="Tahoma"/>
      <family val="2"/>
    </font>
    <font>
      <sz val="15"/>
      <name val="Arial"/>
      <family val="2"/>
    </font>
    <font>
      <b/>
      <sz val="14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263F9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9">
    <xf numFmtId="0" fontId="0" fillId="0" borderId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0" fontId="10" fillId="0" borderId="0"/>
    <xf numFmtId="0" fontId="9" fillId="0" borderId="0"/>
    <xf numFmtId="164" fontId="9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165" fontId="5" fillId="0" borderId="0" applyFont="0" applyFill="0" applyBorder="0" applyAlignment="0" applyProtection="0"/>
    <xf numFmtId="0" fontId="4" fillId="0" borderId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0" fontId="21" fillId="0" borderId="0"/>
    <xf numFmtId="9" fontId="21" fillId="0" borderId="0" applyFont="0" applyFill="0" applyBorder="0" applyAlignment="0" applyProtection="0"/>
    <xf numFmtId="39" fontId="48" fillId="0" borderId="0"/>
    <xf numFmtId="9" fontId="49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336">
    <xf numFmtId="0" fontId="0" fillId="0" borderId="0" xfId="0"/>
    <xf numFmtId="164" fontId="0" fillId="0" borderId="0" xfId="2" applyFont="1"/>
    <xf numFmtId="0" fontId="0" fillId="0" borderId="1" xfId="0" applyBorder="1"/>
    <xf numFmtId="164" fontId="0" fillId="0" borderId="0" xfId="2" applyFont="1" applyBorder="1"/>
    <xf numFmtId="164" fontId="0" fillId="0" borderId="0" xfId="2" applyFont="1" applyFill="1" applyBorder="1"/>
    <xf numFmtId="0" fontId="13" fillId="0" borderId="0" xfId="0" applyFont="1" applyAlignment="1">
      <alignment horizontal="center"/>
    </xf>
    <xf numFmtId="0" fontId="0" fillId="0" borderId="2" xfId="0" applyBorder="1"/>
    <xf numFmtId="164" fontId="0" fillId="0" borderId="2" xfId="2" applyFont="1" applyBorder="1"/>
    <xf numFmtId="43" fontId="16" fillId="9" borderId="0" xfId="0" applyNumberFormat="1" applyFont="1" applyFill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0" fillId="0" borderId="2" xfId="2" applyNumberFormat="1" applyFont="1" applyFill="1" applyBorder="1"/>
    <xf numFmtId="164" fontId="15" fillId="10" borderId="2" xfId="2" applyFont="1" applyFill="1" applyBorder="1"/>
    <xf numFmtId="164" fontId="0" fillId="0" borderId="2" xfId="2" applyFont="1" applyFill="1" applyBorder="1"/>
    <xf numFmtId="164" fontId="0" fillId="10" borderId="2" xfId="2" applyFont="1" applyFill="1" applyBorder="1"/>
    <xf numFmtId="10" fontId="0" fillId="0" borderId="2" xfId="2" applyNumberFormat="1" applyFont="1" applyFill="1" applyBorder="1"/>
    <xf numFmtId="44" fontId="15" fillId="10" borderId="2" xfId="0" applyNumberFormat="1" applyFont="1" applyFill="1" applyBorder="1"/>
    <xf numFmtId="166" fontId="0" fillId="0" borderId="2" xfId="0" applyNumberFormat="1" applyBorder="1"/>
    <xf numFmtId="0" fontId="17" fillId="0" borderId="2" xfId="0" applyFont="1" applyBorder="1" applyAlignment="1">
      <alignment horizontal="left"/>
    </xf>
    <xf numFmtId="164" fontId="18" fillId="10" borderId="2" xfId="2" applyFont="1" applyFill="1" applyBorder="1" applyAlignment="1"/>
    <xf numFmtId="0" fontId="18" fillId="0" borderId="2" xfId="0" applyFont="1" applyBorder="1" applyAlignment="1">
      <alignment horizontal="left"/>
    </xf>
    <xf numFmtId="0" fontId="17" fillId="0" borderId="2" xfId="0" applyFont="1" applyBorder="1"/>
    <xf numFmtId="165" fontId="0" fillId="0" borderId="2" xfId="1" applyFont="1" applyFill="1" applyBorder="1"/>
    <xf numFmtId="0" fontId="13" fillId="0" borderId="0" xfId="0" applyFont="1"/>
    <xf numFmtId="0" fontId="12" fillId="0" borderId="0" xfId="0" applyFont="1"/>
    <xf numFmtId="43" fontId="0" fillId="0" borderId="2" xfId="0" applyNumberFormat="1" applyBorder="1"/>
    <xf numFmtId="9" fontId="0" fillId="0" borderId="2" xfId="0" applyNumberFormat="1" applyBorder="1"/>
    <xf numFmtId="0" fontId="12" fillId="0" borderId="2" xfId="0" applyFont="1" applyBorder="1" applyAlignment="1">
      <alignment horizontal="left"/>
    </xf>
    <xf numFmtId="10" fontId="0" fillId="0" borderId="2" xfId="0" applyNumberFormat="1" applyBorder="1"/>
    <xf numFmtId="165" fontId="13" fillId="10" borderId="2" xfId="1" applyFont="1" applyFill="1" applyBorder="1"/>
    <xf numFmtId="165" fontId="0" fillId="10" borderId="2" xfId="1" applyFont="1" applyFill="1" applyBorder="1"/>
    <xf numFmtId="165" fontId="13" fillId="0" borderId="2" xfId="1" applyFont="1" applyBorder="1"/>
    <xf numFmtId="164" fontId="0" fillId="0" borderId="0" xfId="0" applyNumberFormat="1"/>
    <xf numFmtId="164" fontId="0" fillId="0" borderId="1" xfId="0" applyNumberFormat="1" applyBorder="1"/>
    <xf numFmtId="0" fontId="12" fillId="12" borderId="0" xfId="0" applyFont="1" applyFill="1"/>
    <xf numFmtId="165" fontId="0" fillId="0" borderId="0" xfId="0" applyNumberFormat="1"/>
    <xf numFmtId="164" fontId="13" fillId="0" borderId="0" xfId="0" applyNumberFormat="1" applyFont="1"/>
    <xf numFmtId="0" fontId="11" fillId="0" borderId="0" xfId="0" applyFont="1"/>
    <xf numFmtId="170" fontId="0" fillId="0" borderId="0" xfId="1" applyNumberFormat="1" applyFont="1"/>
    <xf numFmtId="165" fontId="0" fillId="0" borderId="0" xfId="1" applyFont="1"/>
    <xf numFmtId="0" fontId="11" fillId="0" borderId="2" xfId="0" applyFont="1" applyBorder="1"/>
    <xf numFmtId="0" fontId="19" fillId="0" borderId="0" xfId="0" applyFont="1"/>
    <xf numFmtId="165" fontId="19" fillId="0" borderId="0" xfId="1" applyFont="1"/>
    <xf numFmtId="44" fontId="11" fillId="16" borderId="2" xfId="0" applyNumberFormat="1" applyFont="1" applyFill="1" applyBorder="1"/>
    <xf numFmtId="43" fontId="0" fillId="0" borderId="0" xfId="0" applyNumberFormat="1"/>
    <xf numFmtId="0" fontId="0" fillId="0" borderId="2" xfId="0" applyBorder="1" applyAlignment="1">
      <alignment horizontal="center"/>
    </xf>
    <xf numFmtId="168" fontId="11" fillId="12" borderId="2" xfId="1" applyNumberFormat="1" applyFont="1" applyFill="1" applyBorder="1"/>
    <xf numFmtId="9" fontId="13" fillId="0" borderId="0" xfId="0" applyNumberFormat="1" applyFont="1" applyAlignment="1">
      <alignment horizontal="center"/>
    </xf>
    <xf numFmtId="0" fontId="20" fillId="17" borderId="18" xfId="0" applyFont="1" applyFill="1" applyBorder="1" applyAlignment="1">
      <alignment vertical="center"/>
    </xf>
    <xf numFmtId="0" fontId="20" fillId="0" borderId="13" xfId="0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43" fontId="0" fillId="15" borderId="2" xfId="0" applyNumberFormat="1" applyFill="1" applyBorder="1"/>
    <xf numFmtId="0" fontId="23" fillId="9" borderId="6" xfId="0" applyFont="1" applyFill="1" applyBorder="1" applyAlignment="1">
      <alignment horizontal="left"/>
    </xf>
    <xf numFmtId="0" fontId="13" fillId="18" borderId="0" xfId="0" applyFont="1" applyFill="1" applyAlignment="1">
      <alignment horizontal="right"/>
    </xf>
    <xf numFmtId="165" fontId="13" fillId="18" borderId="0" xfId="1" applyFont="1" applyFill="1" applyAlignment="1">
      <alignment horizontal="right"/>
    </xf>
    <xf numFmtId="165" fontId="13" fillId="11" borderId="0" xfId="1" applyFont="1" applyFill="1" applyAlignment="1">
      <alignment horizontal="center"/>
    </xf>
    <xf numFmtId="0" fontId="22" fillId="12" borderId="0" xfId="0" applyFont="1" applyFill="1"/>
    <xf numFmtId="0" fontId="24" fillId="12" borderId="24" xfId="0" applyFont="1" applyFill="1" applyBorder="1" applyAlignment="1">
      <alignment vertical="center"/>
    </xf>
    <xf numFmtId="0" fontId="24" fillId="12" borderId="25" xfId="0" applyFont="1" applyFill="1" applyBorder="1" applyAlignment="1">
      <alignment vertical="center"/>
    </xf>
    <xf numFmtId="165" fontId="0" fillId="12" borderId="0" xfId="1" applyFont="1" applyFill="1"/>
    <xf numFmtId="0" fontId="13" fillId="11" borderId="0" xfId="0" applyFont="1" applyFill="1"/>
    <xf numFmtId="165" fontId="13" fillId="11" borderId="0" xfId="1" applyFont="1" applyFill="1"/>
    <xf numFmtId="0" fontId="0" fillId="0" borderId="0" xfId="0" applyAlignment="1">
      <alignment horizontal="center"/>
    </xf>
    <xf numFmtId="165" fontId="0" fillId="0" borderId="0" xfId="1" applyFont="1" applyBorder="1"/>
    <xf numFmtId="165" fontId="13" fillId="15" borderId="0" xfId="1" applyFont="1" applyFill="1" applyAlignment="1">
      <alignment horizontal="center"/>
    </xf>
    <xf numFmtId="165" fontId="0" fillId="15" borderId="0" xfId="1" applyFont="1" applyFill="1"/>
    <xf numFmtId="165" fontId="0" fillId="0" borderId="0" xfId="1" applyFont="1" applyAlignment="1">
      <alignment horizontal="center"/>
    </xf>
    <xf numFmtId="165" fontId="0" fillId="15" borderId="0" xfId="1" applyFont="1" applyFill="1" applyBorder="1"/>
    <xf numFmtId="165" fontId="13" fillId="0" borderId="0" xfId="1" applyFont="1"/>
    <xf numFmtId="165" fontId="13" fillId="15" borderId="0" xfId="1" applyFont="1" applyFill="1" applyBorder="1"/>
    <xf numFmtId="165" fontId="0" fillId="12" borderId="0" xfId="1" applyFont="1" applyFill="1" applyBorder="1"/>
    <xf numFmtId="165" fontId="0" fillId="0" borderId="0" xfId="1" applyFont="1" applyFill="1"/>
    <xf numFmtId="165" fontId="0" fillId="0" borderId="0" xfId="1" applyFont="1" applyFill="1" applyBorder="1"/>
    <xf numFmtId="165" fontId="13" fillId="11" borderId="0" xfId="1" applyFont="1" applyFill="1" applyBorder="1"/>
    <xf numFmtId="171" fontId="0" fillId="0" borderId="0" xfId="1" applyNumberFormat="1" applyFont="1" applyAlignment="1">
      <alignment horizontal="center"/>
    </xf>
    <xf numFmtId="171" fontId="0" fillId="15" borderId="0" xfId="1" applyNumberFormat="1" applyFont="1" applyFill="1" applyAlignment="1">
      <alignment horizontal="center"/>
    </xf>
    <xf numFmtId="0" fontId="11" fillId="12" borderId="0" xfId="0" applyFont="1" applyFill="1"/>
    <xf numFmtId="164" fontId="0" fillId="0" borderId="0" xfId="1" applyNumberFormat="1" applyFont="1"/>
    <xf numFmtId="164" fontId="0" fillId="12" borderId="0" xfId="1" applyNumberFormat="1" applyFont="1" applyFill="1" applyBorder="1"/>
    <xf numFmtId="164" fontId="0" fillId="0" borderId="0" xfId="1" applyNumberFormat="1" applyFont="1" applyBorder="1"/>
    <xf numFmtId="164" fontId="13" fillId="0" borderId="0" xfId="1" applyNumberFormat="1" applyFont="1"/>
    <xf numFmtId="0" fontId="0" fillId="0" borderId="0" xfId="1" applyNumberFormat="1" applyFont="1"/>
    <xf numFmtId="0" fontId="0" fillId="0" borderId="1" xfId="1" applyNumberFormat="1" applyFont="1" applyBorder="1"/>
    <xf numFmtId="164" fontId="13" fillId="0" borderId="0" xfId="1" applyNumberFormat="1" applyFont="1" applyFill="1"/>
    <xf numFmtId="164" fontId="0" fillId="0" borderId="1" xfId="1" applyNumberFormat="1" applyFont="1" applyBorder="1"/>
    <xf numFmtId="164" fontId="13" fillId="0" borderId="0" xfId="1" applyNumberFormat="1" applyFont="1" applyBorder="1"/>
    <xf numFmtId="0" fontId="0" fillId="0" borderId="0" xfId="1" applyNumberFormat="1" applyFont="1" applyBorder="1"/>
    <xf numFmtId="164" fontId="11" fillId="0" borderId="0" xfId="1" applyNumberFormat="1" applyFont="1" applyBorder="1"/>
    <xf numFmtId="164" fontId="11" fillId="0" borderId="0" xfId="0" applyNumberFormat="1" applyFont="1"/>
    <xf numFmtId="164" fontId="11" fillId="0" borderId="1" xfId="0" applyNumberFormat="1" applyFont="1" applyBorder="1"/>
    <xf numFmtId="0" fontId="11" fillId="0" borderId="1" xfId="0" applyFont="1" applyBorder="1"/>
    <xf numFmtId="165" fontId="11" fillId="21" borderId="0" xfId="0" applyNumberFormat="1" applyFont="1" applyFill="1"/>
    <xf numFmtId="165" fontId="11" fillId="0" borderId="0" xfId="0" applyNumberFormat="1" applyFont="1"/>
    <xf numFmtId="165" fontId="13" fillId="22" borderId="0" xfId="0" applyNumberFormat="1" applyFont="1" applyFill="1"/>
    <xf numFmtId="0" fontId="0" fillId="23" borderId="0" xfId="0" applyFill="1"/>
    <xf numFmtId="0" fontId="11" fillId="23" borderId="0" xfId="0" applyFont="1" applyFill="1"/>
    <xf numFmtId="0" fontId="11" fillId="24" borderId="0" xfId="0" applyFont="1" applyFill="1"/>
    <xf numFmtId="164" fontId="0" fillId="24" borderId="0" xfId="2" applyFont="1" applyFill="1"/>
    <xf numFmtId="0" fontId="0" fillId="18" borderId="0" xfId="0" applyFill="1"/>
    <xf numFmtId="0" fontId="27" fillId="18" borderId="0" xfId="0" applyFont="1" applyFill="1" applyAlignment="1">
      <alignment horizontal="center"/>
    </xf>
    <xf numFmtId="164" fontId="0" fillId="18" borderId="0" xfId="2" applyFont="1" applyFill="1"/>
    <xf numFmtId="0" fontId="0" fillId="15" borderId="0" xfId="0" applyFill="1"/>
    <xf numFmtId="0" fontId="27" fillId="15" borderId="0" xfId="0" applyFont="1" applyFill="1" applyAlignment="1">
      <alignment horizontal="center"/>
    </xf>
    <xf numFmtId="164" fontId="0" fillId="15" borderId="0" xfId="2" applyFont="1" applyFill="1"/>
    <xf numFmtId="164" fontId="0" fillId="15" borderId="1" xfId="2" applyFont="1" applyFill="1" applyBorder="1"/>
    <xf numFmtId="164" fontId="15" fillId="15" borderId="0" xfId="2" applyFont="1" applyFill="1"/>
    <xf numFmtId="164" fontId="15" fillId="18" borderId="0" xfId="2" applyFont="1" applyFill="1"/>
    <xf numFmtId="164" fontId="0" fillId="15" borderId="0" xfId="2" applyFont="1" applyFill="1" applyBorder="1"/>
    <xf numFmtId="0" fontId="15" fillId="15" borderId="0" xfId="0" applyFont="1" applyFill="1"/>
    <xf numFmtId="0" fontId="28" fillId="15" borderId="0" xfId="0" applyFont="1" applyFill="1" applyAlignment="1">
      <alignment horizontal="center"/>
    </xf>
    <xf numFmtId="164" fontId="15" fillId="25" borderId="0" xfId="2" applyFont="1" applyFill="1"/>
    <xf numFmtId="0" fontId="12" fillId="0" borderId="22" xfId="0" applyFont="1" applyBorder="1"/>
    <xf numFmtId="164" fontId="13" fillId="0" borderId="22" xfId="0" applyNumberFormat="1" applyFont="1" applyBorder="1"/>
    <xf numFmtId="0" fontId="31" fillId="0" borderId="0" xfId="0" applyFont="1"/>
    <xf numFmtId="0" fontId="31" fillId="0" borderId="0" xfId="0" applyFont="1" applyAlignment="1">
      <alignment horizontal="left"/>
    </xf>
    <xf numFmtId="0" fontId="14" fillId="0" borderId="0" xfId="0" applyFont="1"/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left" vertical="top" wrapText="1"/>
    </xf>
    <xf numFmtId="0" fontId="34" fillId="8" borderId="17" xfId="0" applyFont="1" applyFill="1" applyBorder="1"/>
    <xf numFmtId="164" fontId="14" fillId="0" borderId="1" xfId="2" applyFont="1" applyBorder="1"/>
    <xf numFmtId="164" fontId="14" fillId="0" borderId="0" xfId="2" applyFont="1" applyBorder="1"/>
    <xf numFmtId="0" fontId="14" fillId="0" borderId="2" xfId="0" applyFont="1" applyBorder="1" applyAlignment="1">
      <alignment horizontal="right"/>
    </xf>
    <xf numFmtId="0" fontId="14" fillId="2" borderId="2" xfId="2" applyNumberFormat="1" applyFont="1" applyFill="1" applyBorder="1" applyProtection="1">
      <protection locked="0"/>
    </xf>
    <xf numFmtId="164" fontId="35" fillId="0" borderId="0" xfId="2" applyFont="1" applyBorder="1"/>
    <xf numFmtId="0" fontId="14" fillId="0" borderId="0" xfId="0" applyFont="1" applyAlignment="1">
      <alignment horizontal="right"/>
    </xf>
    <xf numFmtId="0" fontId="14" fillId="0" borderId="0" xfId="2" applyNumberFormat="1" applyFont="1" applyFill="1" applyBorder="1"/>
    <xf numFmtId="0" fontId="34" fillId="8" borderId="2" xfId="0" applyFont="1" applyFill="1" applyBorder="1" applyAlignment="1">
      <alignment horizontal="left"/>
    </xf>
    <xf numFmtId="0" fontId="14" fillId="0" borderId="1" xfId="2" applyNumberFormat="1" applyFont="1" applyFill="1" applyBorder="1"/>
    <xf numFmtId="164" fontId="14" fillId="18" borderId="2" xfId="2" applyFont="1" applyFill="1" applyBorder="1" applyProtection="1">
      <protection locked="0"/>
    </xf>
    <xf numFmtId="0" fontId="33" fillId="0" borderId="0" xfId="0" applyFont="1" applyAlignment="1">
      <alignment horizontal="left"/>
    </xf>
    <xf numFmtId="164" fontId="14" fillId="2" borderId="2" xfId="2" applyFont="1" applyFill="1" applyBorder="1" applyProtection="1">
      <protection locked="0"/>
    </xf>
    <xf numFmtId="164" fontId="14" fillId="0" borderId="0" xfId="2" applyFont="1" applyFill="1" applyBorder="1"/>
    <xf numFmtId="0" fontId="34" fillId="8" borderId="2" xfId="0" applyFont="1" applyFill="1" applyBorder="1"/>
    <xf numFmtId="164" fontId="14" fillId="0" borderId="0" xfId="2" applyFont="1"/>
    <xf numFmtId="0" fontId="31" fillId="0" borderId="0" xfId="0" applyFont="1" applyAlignment="1">
      <alignment horizontal="left" vertical="top" wrapText="1"/>
    </xf>
    <xf numFmtId="165" fontId="14" fillId="13" borderId="2" xfId="1" applyFont="1" applyFill="1" applyBorder="1" applyProtection="1">
      <protection locked="0"/>
    </xf>
    <xf numFmtId="165" fontId="31" fillId="0" borderId="0" xfId="1" applyFont="1" applyFill="1" applyBorder="1" applyAlignment="1">
      <alignment horizontal="left"/>
    </xf>
    <xf numFmtId="165" fontId="31" fillId="0" borderId="0" xfId="1" applyFont="1" applyFill="1" applyBorder="1" applyAlignment="1">
      <alignment horizontal="left" vertical="top" wrapText="1"/>
    </xf>
    <xf numFmtId="164" fontId="14" fillId="2" borderId="2" xfId="2" applyFont="1" applyFill="1" applyBorder="1" applyAlignment="1" applyProtection="1">
      <alignment horizontal="right"/>
      <protection locked="0"/>
    </xf>
    <xf numFmtId="0" fontId="14" fillId="0" borderId="0" xfId="2" applyNumberFormat="1" applyFont="1" applyFill="1" applyBorder="1" applyProtection="1"/>
    <xf numFmtId="164" fontId="31" fillId="0" borderId="0" xfId="0" applyNumberFormat="1" applyFont="1" applyAlignment="1">
      <alignment horizontal="left" vertical="top" wrapText="1"/>
    </xf>
    <xf numFmtId="0" fontId="34" fillId="8" borderId="2" xfId="0" applyFont="1" applyFill="1" applyBorder="1" applyAlignment="1">
      <alignment horizontal="center"/>
    </xf>
    <xf numFmtId="164" fontId="34" fillId="8" borderId="2" xfId="2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8" fillId="0" borderId="0" xfId="4" applyFont="1"/>
    <xf numFmtId="0" fontId="31" fillId="0" borderId="0" xfId="4" applyFont="1"/>
    <xf numFmtId="0" fontId="39" fillId="0" borderId="0" xfId="4" applyFont="1"/>
    <xf numFmtId="0" fontId="14" fillId="0" borderId="2" xfId="0" applyFont="1" applyBorder="1"/>
    <xf numFmtId="164" fontId="14" fillId="0" borderId="2" xfId="2" applyFont="1" applyBorder="1"/>
    <xf numFmtId="0" fontId="35" fillId="0" borderId="0" xfId="0" applyFont="1"/>
    <xf numFmtId="44" fontId="40" fillId="0" borderId="0" xfId="5" applyFont="1" applyFill="1" applyBorder="1"/>
    <xf numFmtId="0" fontId="31" fillId="0" borderId="2" xfId="0" applyFont="1" applyBorder="1"/>
    <xf numFmtId="165" fontId="41" fillId="0" borderId="2" xfId="1" applyFont="1" applyFill="1" applyBorder="1" applyAlignment="1">
      <alignment horizontal="left"/>
    </xf>
    <xf numFmtId="169" fontId="41" fillId="0" borderId="2" xfId="1" applyNumberFormat="1" applyFont="1" applyFill="1" applyBorder="1" applyAlignment="1">
      <alignment horizontal="left"/>
    </xf>
    <xf numFmtId="44" fontId="42" fillId="0" borderId="0" xfId="4" applyNumberFormat="1" applyFont="1"/>
    <xf numFmtId="165" fontId="38" fillId="0" borderId="0" xfId="1" applyFont="1" applyFill="1" applyBorder="1" applyAlignment="1">
      <alignment horizontal="right"/>
    </xf>
    <xf numFmtId="165" fontId="31" fillId="0" borderId="2" xfId="1" applyFont="1" applyFill="1" applyBorder="1"/>
    <xf numFmtId="165" fontId="31" fillId="0" borderId="0" xfId="1" applyFont="1" applyFill="1"/>
    <xf numFmtId="165" fontId="31" fillId="0" borderId="2" xfId="1" applyFont="1" applyBorder="1"/>
    <xf numFmtId="165" fontId="43" fillId="0" borderId="0" xfId="0" applyNumberFormat="1" applyFont="1" applyAlignment="1">
      <alignment horizontal="left"/>
    </xf>
    <xf numFmtId="0" fontId="43" fillId="0" borderId="0" xfId="0" applyFont="1"/>
    <xf numFmtId="164" fontId="43" fillId="0" borderId="0" xfId="2" applyFont="1" applyFill="1" applyBorder="1" applyAlignment="1">
      <alignment horizontal="left"/>
    </xf>
    <xf numFmtId="165" fontId="43" fillId="0" borderId="0" xfId="0" applyNumberFormat="1" applyFont="1"/>
    <xf numFmtId="0" fontId="43" fillId="0" borderId="0" xfId="0" applyFont="1" applyAlignment="1">
      <alignment horizontal="left"/>
    </xf>
    <xf numFmtId="0" fontId="37" fillId="11" borderId="2" xfId="0" applyFont="1" applyFill="1" applyBorder="1" applyAlignment="1">
      <alignment horizontal="right"/>
    </xf>
    <xf numFmtId="164" fontId="37" fillId="11" borderId="2" xfId="2" applyFont="1" applyFill="1" applyBorder="1"/>
    <xf numFmtId="164" fontId="14" fillId="11" borderId="2" xfId="2" applyFont="1" applyFill="1" applyBorder="1"/>
    <xf numFmtId="0" fontId="31" fillId="0" borderId="2" xfId="0" applyFont="1" applyBorder="1" applyAlignment="1">
      <alignment horizontal="left"/>
    </xf>
    <xf numFmtId="0" fontId="45" fillId="8" borderId="3" xfId="0" applyFont="1" applyFill="1" applyBorder="1"/>
    <xf numFmtId="0" fontId="34" fillId="8" borderId="4" xfId="0" applyFont="1" applyFill="1" applyBorder="1" applyAlignment="1">
      <alignment horizontal="center"/>
    </xf>
    <xf numFmtId="164" fontId="45" fillId="8" borderId="5" xfId="2" applyFont="1" applyFill="1" applyBorder="1"/>
    <xf numFmtId="0" fontId="31" fillId="0" borderId="14" xfId="0" applyFont="1" applyBorder="1"/>
    <xf numFmtId="164" fontId="31" fillId="0" borderId="16" xfId="0" applyNumberFormat="1" applyFont="1" applyBorder="1"/>
    <xf numFmtId="0" fontId="31" fillId="0" borderId="9" xfId="0" applyFont="1" applyBorder="1"/>
    <xf numFmtId="0" fontId="31" fillId="0" borderId="10" xfId="0" applyFont="1" applyBorder="1"/>
    <xf numFmtId="164" fontId="31" fillId="0" borderId="10" xfId="0" applyNumberFormat="1" applyFont="1" applyBorder="1"/>
    <xf numFmtId="164" fontId="14" fillId="0" borderId="2" xfId="2" applyFont="1" applyFill="1" applyBorder="1"/>
    <xf numFmtId="165" fontId="31" fillId="0" borderId="10" xfId="0" applyNumberFormat="1" applyFont="1" applyBorder="1"/>
    <xf numFmtId="0" fontId="37" fillId="11" borderId="2" xfId="0" applyFont="1" applyFill="1" applyBorder="1"/>
    <xf numFmtId="164" fontId="14" fillId="0" borderId="0" xfId="0" applyNumberFormat="1" applyFont="1"/>
    <xf numFmtId="164" fontId="31" fillId="0" borderId="0" xfId="0" applyNumberFormat="1" applyFont="1"/>
    <xf numFmtId="164" fontId="37" fillId="0" borderId="0" xfId="2" applyFont="1"/>
    <xf numFmtId="0" fontId="31" fillId="0" borderId="11" xfId="0" applyFont="1" applyBorder="1"/>
    <xf numFmtId="0" fontId="31" fillId="0" borderId="13" xfId="0" applyFont="1" applyBorder="1"/>
    <xf numFmtId="164" fontId="46" fillId="9" borderId="0" xfId="2" applyFont="1" applyFill="1"/>
    <xf numFmtId="0" fontId="30" fillId="9" borderId="0" xfId="0" applyFont="1" applyFill="1" applyAlignment="1">
      <alignment horizontal="center"/>
    </xf>
    <xf numFmtId="164" fontId="30" fillId="9" borderId="0" xfId="2" applyFont="1" applyFill="1" applyAlignment="1">
      <alignment horizontal="center"/>
    </xf>
    <xf numFmtId="0" fontId="33" fillId="9" borderId="0" xfId="0" applyFont="1" applyFill="1" applyAlignment="1">
      <alignment horizontal="center"/>
    </xf>
    <xf numFmtId="164" fontId="14" fillId="0" borderId="2" xfId="0" applyNumberFormat="1" applyFont="1" applyBorder="1"/>
    <xf numFmtId="164" fontId="14" fillId="4" borderId="2" xfId="2" applyFont="1" applyFill="1" applyBorder="1"/>
    <xf numFmtId="164" fontId="31" fillId="0" borderId="2" xfId="2" applyFont="1" applyBorder="1"/>
    <xf numFmtId="164" fontId="14" fillId="5" borderId="2" xfId="2" applyFont="1" applyFill="1" applyBorder="1"/>
    <xf numFmtId="164" fontId="14" fillId="6" borderId="2" xfId="2" applyFont="1" applyFill="1" applyBorder="1"/>
    <xf numFmtId="164" fontId="31" fillId="0" borderId="2" xfId="0" applyNumberFormat="1" applyFont="1" applyBorder="1"/>
    <xf numFmtId="0" fontId="34" fillId="8" borderId="19" xfId="0" applyFont="1" applyFill="1" applyBorder="1" applyAlignment="1">
      <alignment horizontal="right"/>
    </xf>
    <xf numFmtId="164" fontId="45" fillId="8" borderId="20" xfId="2" applyFont="1" applyFill="1" applyBorder="1"/>
    <xf numFmtId="164" fontId="45" fillId="8" borderId="18" xfId="2" applyFont="1" applyFill="1" applyBorder="1"/>
    <xf numFmtId="0" fontId="14" fillId="0" borderId="14" xfId="0" applyFont="1" applyBorder="1" applyAlignment="1">
      <alignment horizontal="right"/>
    </xf>
    <xf numFmtId="164" fontId="14" fillId="0" borderId="15" xfId="2" applyFont="1" applyBorder="1"/>
    <xf numFmtId="164" fontId="14" fillId="0" borderId="16" xfId="2" applyFont="1" applyBorder="1"/>
    <xf numFmtId="164" fontId="38" fillId="0" borderId="15" xfId="0" applyNumberFormat="1" applyFont="1" applyBorder="1" applyAlignment="1">
      <alignment horizontal="left"/>
    </xf>
    <xf numFmtId="43" fontId="38" fillId="0" borderId="16" xfId="0" applyNumberFormat="1" applyFont="1" applyBorder="1"/>
    <xf numFmtId="0" fontId="14" fillId="0" borderId="9" xfId="0" applyFont="1" applyBorder="1" applyAlignment="1">
      <alignment horizontal="right"/>
    </xf>
    <xf numFmtId="0" fontId="14" fillId="0" borderId="0" xfId="2" applyNumberFormat="1" applyFont="1" applyBorder="1"/>
    <xf numFmtId="164" fontId="14" fillId="0" borderId="10" xfId="2" applyFont="1" applyBorder="1"/>
    <xf numFmtId="0" fontId="31" fillId="0" borderId="10" xfId="2" applyNumberFormat="1" applyFont="1" applyFill="1" applyBorder="1"/>
    <xf numFmtId="164" fontId="33" fillId="0" borderId="0" xfId="0" applyNumberFormat="1" applyFont="1" applyAlignment="1">
      <alignment horizontal="left"/>
    </xf>
    <xf numFmtId="164" fontId="38" fillId="0" borderId="10" xfId="2" applyFont="1" applyFill="1" applyBorder="1"/>
    <xf numFmtId="164" fontId="31" fillId="0" borderId="10" xfId="2" applyFont="1" applyFill="1" applyBorder="1"/>
    <xf numFmtId="165" fontId="41" fillId="0" borderId="0" xfId="1" applyFont="1" applyFill="1"/>
    <xf numFmtId="165" fontId="33" fillId="0" borderId="0" xfId="0" applyNumberFormat="1" applyFont="1" applyAlignment="1">
      <alignment horizontal="left"/>
    </xf>
    <xf numFmtId="44" fontId="31" fillId="0" borderId="10" xfId="0" applyNumberFormat="1" applyFont="1" applyBorder="1"/>
    <xf numFmtId="10" fontId="14" fillId="0" borderId="0" xfId="3" applyNumberFormat="1" applyFont="1" applyBorder="1"/>
    <xf numFmtId="0" fontId="31" fillId="0" borderId="12" xfId="0" applyFont="1" applyBorder="1" applyAlignment="1">
      <alignment horizontal="left"/>
    </xf>
    <xf numFmtId="10" fontId="31" fillId="0" borderId="13" xfId="2" applyNumberFormat="1" applyFont="1" applyFill="1" applyBorder="1"/>
    <xf numFmtId="164" fontId="31" fillId="0" borderId="0" xfId="0" applyNumberFormat="1" applyFont="1" applyAlignment="1">
      <alignment horizontal="left"/>
    </xf>
    <xf numFmtId="164" fontId="38" fillId="0" borderId="0" xfId="2" applyFont="1" applyFill="1" applyBorder="1"/>
    <xf numFmtId="164" fontId="31" fillId="0" borderId="0" xfId="2" applyFont="1" applyFill="1" applyBorder="1"/>
    <xf numFmtId="0" fontId="31" fillId="0" borderId="0" xfId="2" applyNumberFormat="1" applyFont="1" applyFill="1" applyBorder="1"/>
    <xf numFmtId="44" fontId="38" fillId="0" borderId="0" xfId="0" applyNumberFormat="1" applyFont="1"/>
    <xf numFmtId="164" fontId="14" fillId="6" borderId="0" xfId="2" applyFont="1" applyFill="1" applyBorder="1"/>
    <xf numFmtId="0" fontId="41" fillId="0" borderId="0" xfId="0" applyFont="1" applyAlignment="1">
      <alignment horizontal="left"/>
    </xf>
    <xf numFmtId="164" fontId="38" fillId="0" borderId="0" xfId="2" applyFont="1" applyFill="1" applyBorder="1" applyAlignment="1"/>
    <xf numFmtId="0" fontId="38" fillId="0" borderId="0" xfId="0" applyFont="1" applyAlignment="1">
      <alignment horizontal="left"/>
    </xf>
    <xf numFmtId="0" fontId="41" fillId="0" borderId="0" xfId="0" applyFont="1"/>
    <xf numFmtId="0" fontId="37" fillId="0" borderId="9" xfId="0" applyFont="1" applyBorder="1" applyAlignment="1">
      <alignment horizontal="right"/>
    </xf>
    <xf numFmtId="0" fontId="14" fillId="0" borderId="9" xfId="0" applyFont="1" applyBorder="1"/>
    <xf numFmtId="164" fontId="38" fillId="0" borderId="0" xfId="2" applyFont="1" applyFill="1"/>
    <xf numFmtId="0" fontId="14" fillId="0" borderId="11" xfId="0" applyFont="1" applyBorder="1" applyAlignment="1">
      <alignment horizontal="right"/>
    </xf>
    <xf numFmtId="164" fontId="14" fillId="7" borderId="12" xfId="2" applyFont="1" applyFill="1" applyBorder="1"/>
    <xf numFmtId="164" fontId="14" fillId="0" borderId="13" xfId="2" applyFont="1" applyBorder="1"/>
    <xf numFmtId="0" fontId="45" fillId="8" borderId="18" xfId="0" applyFont="1" applyFill="1" applyBorder="1"/>
    <xf numFmtId="0" fontId="14" fillId="0" borderId="10" xfId="0" applyFont="1" applyBorder="1"/>
    <xf numFmtId="164" fontId="14" fillId="4" borderId="12" xfId="2" applyFont="1" applyFill="1" applyBorder="1"/>
    <xf numFmtId="164" fontId="14" fillId="0" borderId="12" xfId="2" applyFont="1" applyBorder="1"/>
    <xf numFmtId="0" fontId="14" fillId="0" borderId="13" xfId="0" applyFont="1" applyBorder="1"/>
    <xf numFmtId="164" fontId="14" fillId="5" borderId="12" xfId="2" applyFont="1" applyFill="1" applyBorder="1"/>
    <xf numFmtId="0" fontId="37" fillId="0" borderId="0" xfId="0" applyFont="1" applyAlignment="1">
      <alignment horizontal="right"/>
    </xf>
    <xf numFmtId="164" fontId="37" fillId="0" borderId="2" xfId="2" applyFont="1" applyBorder="1" applyAlignment="1">
      <alignment horizontal="right"/>
    </xf>
    <xf numFmtId="0" fontId="37" fillId="0" borderId="2" xfId="0" applyFont="1" applyBorder="1" applyAlignment="1">
      <alignment horizontal="right"/>
    </xf>
    <xf numFmtId="0" fontId="33" fillId="0" borderId="0" xfId="0" applyFont="1" applyAlignment="1">
      <alignment horizontal="right"/>
    </xf>
    <xf numFmtId="10" fontId="14" fillId="0" borderId="2" xfId="3" applyNumberFormat="1" applyFont="1" applyBorder="1"/>
    <xf numFmtId="10" fontId="14" fillId="0" borderId="2" xfId="3" applyNumberFormat="1" applyFont="1" applyFill="1" applyBorder="1"/>
    <xf numFmtId="10" fontId="14" fillId="0" borderId="0" xfId="3" applyNumberFormat="1" applyFont="1" applyFill="1" applyBorder="1"/>
    <xf numFmtId="9" fontId="14" fillId="0" borderId="0" xfId="3" applyFont="1" applyBorder="1"/>
    <xf numFmtId="167" fontId="14" fillId="0" borderId="0" xfId="2" applyNumberFormat="1" applyFont="1" applyBorder="1"/>
    <xf numFmtId="164" fontId="14" fillId="3" borderId="0" xfId="2" applyFont="1" applyFill="1" applyBorder="1"/>
    <xf numFmtId="0" fontId="14" fillId="0" borderId="11" xfId="0" applyFont="1" applyBorder="1"/>
    <xf numFmtId="164" fontId="14" fillId="3" borderId="12" xfId="2" applyFont="1" applyFill="1" applyBorder="1"/>
    <xf numFmtId="0" fontId="37" fillId="0" borderId="0" xfId="0" applyFont="1"/>
    <xf numFmtId="0" fontId="31" fillId="0" borderId="0" xfId="18" applyFont="1"/>
    <xf numFmtId="0" fontId="33" fillId="0" borderId="0" xfId="18" applyFont="1"/>
    <xf numFmtId="0" fontId="33" fillId="19" borderId="2" xfId="18" applyFont="1" applyFill="1" applyBorder="1"/>
    <xf numFmtId="0" fontId="31" fillId="0" borderId="2" xfId="18" applyFont="1" applyBorder="1" applyAlignment="1">
      <alignment horizontal="center"/>
    </xf>
    <xf numFmtId="9" fontId="31" fillId="0" borderId="2" xfId="19" applyFont="1" applyBorder="1" applyAlignment="1">
      <alignment horizontal="center"/>
    </xf>
    <xf numFmtId="0" fontId="31" fillId="0" borderId="2" xfId="18" applyFont="1" applyBorder="1"/>
    <xf numFmtId="9" fontId="31" fillId="0" borderId="2" xfId="19" applyFont="1" applyBorder="1"/>
    <xf numFmtId="9" fontId="31" fillId="0" borderId="0" xfId="19" applyFont="1"/>
    <xf numFmtId="0" fontId="31" fillId="20" borderId="0" xfId="18" applyFont="1" applyFill="1"/>
    <xf numFmtId="9" fontId="31" fillId="20" borderId="0" xfId="19" applyFont="1" applyFill="1"/>
    <xf numFmtId="0" fontId="31" fillId="0" borderId="0" xfId="1" applyNumberFormat="1" applyFont="1"/>
    <xf numFmtId="9" fontId="33" fillId="0" borderId="0" xfId="19" applyFont="1"/>
    <xf numFmtId="0" fontId="31" fillId="0" borderId="2" xfId="1" applyNumberFormat="1" applyFont="1" applyBorder="1"/>
    <xf numFmtId="0" fontId="31" fillId="20" borderId="2" xfId="18" applyFont="1" applyFill="1" applyBorder="1" applyAlignment="1">
      <alignment horizontal="center"/>
    </xf>
    <xf numFmtId="0" fontId="31" fillId="20" borderId="2" xfId="18" applyFont="1" applyFill="1" applyBorder="1"/>
    <xf numFmtId="0" fontId="31" fillId="20" borderId="2" xfId="1" applyNumberFormat="1" applyFont="1" applyFill="1" applyBorder="1"/>
    <xf numFmtId="164" fontId="15" fillId="0" borderId="2" xfId="2" applyFont="1" applyFill="1" applyBorder="1"/>
    <xf numFmtId="39" fontId="14" fillId="0" borderId="0" xfId="20" quotePrefix="1" applyFont="1"/>
    <xf numFmtId="0" fontId="31" fillId="0" borderId="0" xfId="18" applyFont="1" applyAlignment="1">
      <alignment horizontal="center"/>
    </xf>
    <xf numFmtId="9" fontId="31" fillId="0" borderId="0" xfId="19" applyFont="1" applyBorder="1" applyAlignment="1">
      <alignment horizontal="center"/>
    </xf>
    <xf numFmtId="9" fontId="31" fillId="0" borderId="0" xfId="19" applyFont="1" applyBorder="1"/>
    <xf numFmtId="43" fontId="31" fillId="0" borderId="0" xfId="0" applyNumberFormat="1" applyFont="1"/>
    <xf numFmtId="9" fontId="37" fillId="0" borderId="0" xfId="3" applyFont="1"/>
    <xf numFmtId="169" fontId="14" fillId="0" borderId="0" xfId="1" applyNumberFormat="1" applyFont="1"/>
    <xf numFmtId="10" fontId="0" fillId="0" borderId="0" xfId="0" applyNumberFormat="1"/>
    <xf numFmtId="172" fontId="31" fillId="12" borderId="2" xfId="1" applyNumberFormat="1" applyFont="1" applyFill="1" applyBorder="1"/>
    <xf numFmtId="172" fontId="31" fillId="0" borderId="2" xfId="1" applyNumberFormat="1" applyFont="1" applyBorder="1"/>
    <xf numFmtId="0" fontId="31" fillId="24" borderId="0" xfId="18" applyFont="1" applyFill="1"/>
    <xf numFmtId="0" fontId="33" fillId="24" borderId="2" xfId="18" applyFont="1" applyFill="1" applyBorder="1"/>
    <xf numFmtId="0" fontId="31" fillId="24" borderId="2" xfId="18" applyFont="1" applyFill="1" applyBorder="1" applyAlignment="1">
      <alignment horizontal="center"/>
    </xf>
    <xf numFmtId="9" fontId="31" fillId="24" borderId="2" xfId="19" applyFont="1" applyFill="1" applyBorder="1" applyAlignment="1">
      <alignment horizontal="center"/>
    </xf>
    <xf numFmtId="0" fontId="31" fillId="24" borderId="0" xfId="18" applyFont="1" applyFill="1" applyAlignment="1">
      <alignment horizontal="center"/>
    </xf>
    <xf numFmtId="9" fontId="31" fillId="24" borderId="0" xfId="19" applyFont="1" applyFill="1" applyBorder="1" applyAlignment="1">
      <alignment horizontal="center"/>
    </xf>
    <xf numFmtId="9" fontId="31" fillId="24" borderId="0" xfId="19" applyFont="1" applyFill="1"/>
    <xf numFmtId="0" fontId="31" fillId="24" borderId="0" xfId="1" applyNumberFormat="1" applyFont="1" applyFill="1"/>
    <xf numFmtId="0" fontId="31" fillId="24" borderId="2" xfId="18" applyFont="1" applyFill="1" applyBorder="1"/>
    <xf numFmtId="172" fontId="31" fillId="24" borderId="2" xfId="1" applyNumberFormat="1" applyFont="1" applyFill="1" applyBorder="1"/>
    <xf numFmtId="165" fontId="31" fillId="0" borderId="0" xfId="1" applyFont="1"/>
    <xf numFmtId="165" fontId="33" fillId="0" borderId="0" xfId="1" applyFont="1" applyAlignment="1">
      <alignment horizontal="center" vertical="center"/>
    </xf>
    <xf numFmtId="165" fontId="33" fillId="0" borderId="0" xfId="1" applyFont="1"/>
    <xf numFmtId="165" fontId="31" fillId="0" borderId="0" xfId="1" applyFont="1" applyAlignment="1">
      <alignment horizontal="center"/>
    </xf>
    <xf numFmtId="44" fontId="31" fillId="0" borderId="0" xfId="0" applyNumberFormat="1" applyFont="1"/>
    <xf numFmtId="164" fontId="37" fillId="0" borderId="0" xfId="2" applyFont="1" applyBorder="1" applyAlignment="1">
      <alignment horizontal="right"/>
    </xf>
    <xf numFmtId="0" fontId="31" fillId="12" borderId="2" xfId="18" applyFont="1" applyFill="1" applyBorder="1" applyAlignment="1">
      <alignment horizontal="center"/>
    </xf>
    <xf numFmtId="9" fontId="31" fillId="12" borderId="2" xfId="19" applyFont="1" applyFill="1" applyBorder="1" applyAlignment="1">
      <alignment horizontal="center"/>
    </xf>
    <xf numFmtId="43" fontId="0" fillId="0" borderId="2" xfId="22" applyFont="1" applyFill="1" applyBorder="1"/>
    <xf numFmtId="43" fontId="0" fillId="0" borderId="0" xfId="22" applyFont="1"/>
    <xf numFmtId="43" fontId="0" fillId="0" borderId="2" xfId="22" applyFont="1" applyBorder="1"/>
    <xf numFmtId="10" fontId="47" fillId="0" borderId="2" xfId="0" applyNumberFormat="1" applyFont="1" applyBorder="1" applyAlignment="1">
      <alignment horizontal="right" vertical="center"/>
    </xf>
    <xf numFmtId="0" fontId="53" fillId="0" borderId="0" xfId="0" applyFont="1"/>
    <xf numFmtId="165" fontId="53" fillId="12" borderId="0" xfId="1" applyFont="1" applyFill="1"/>
    <xf numFmtId="0" fontId="33" fillId="0" borderId="0" xfId="18" applyFont="1" applyAlignment="1">
      <alignment horizontal="center"/>
    </xf>
    <xf numFmtId="0" fontId="33" fillId="24" borderId="0" xfId="18" applyFont="1" applyFill="1" applyAlignment="1">
      <alignment horizontal="center"/>
    </xf>
    <xf numFmtId="0" fontId="33" fillId="19" borderId="21" xfId="18" applyFont="1" applyFill="1" applyBorder="1" applyAlignment="1">
      <alignment horizontal="center" vertical="center"/>
    </xf>
    <xf numFmtId="0" fontId="33" fillId="19" borderId="22" xfId="18" applyFont="1" applyFill="1" applyBorder="1" applyAlignment="1">
      <alignment horizontal="center" vertical="center"/>
    </xf>
    <xf numFmtId="0" fontId="33" fillId="19" borderId="23" xfId="18" applyFont="1" applyFill="1" applyBorder="1" applyAlignment="1">
      <alignment horizontal="center" vertical="center"/>
    </xf>
    <xf numFmtId="0" fontId="33" fillId="19" borderId="7" xfId="18" applyFont="1" applyFill="1" applyBorder="1" applyAlignment="1">
      <alignment horizontal="center" vertical="center"/>
    </xf>
    <xf numFmtId="0" fontId="33" fillId="19" borderId="1" xfId="18" applyFont="1" applyFill="1" applyBorder="1" applyAlignment="1">
      <alignment horizontal="center" vertical="center"/>
    </xf>
    <xf numFmtId="0" fontId="33" fillId="19" borderId="8" xfId="18" applyFont="1" applyFill="1" applyBorder="1" applyAlignment="1">
      <alignment horizontal="center" vertical="center"/>
    </xf>
    <xf numFmtId="0" fontId="33" fillId="24" borderId="2" xfId="18" applyFont="1" applyFill="1" applyBorder="1" applyAlignment="1">
      <alignment horizontal="center"/>
    </xf>
    <xf numFmtId="0" fontId="33" fillId="0" borderId="2" xfId="18" applyFont="1" applyBorder="1" applyAlignment="1">
      <alignment horizontal="center"/>
    </xf>
    <xf numFmtId="0" fontId="33" fillId="19" borderId="2" xfId="18" applyFont="1" applyFill="1" applyBorder="1" applyAlignment="1">
      <alignment horizontal="center"/>
    </xf>
    <xf numFmtId="0" fontId="33" fillId="26" borderId="2" xfId="18" applyFont="1" applyFill="1" applyBorder="1" applyAlignment="1">
      <alignment horizontal="center"/>
    </xf>
    <xf numFmtId="0" fontId="37" fillId="11" borderId="0" xfId="0" applyFont="1" applyFill="1" applyAlignment="1">
      <alignment horizontal="center"/>
    </xf>
    <xf numFmtId="0" fontId="38" fillId="11" borderId="1" xfId="4" applyFont="1" applyFill="1" applyBorder="1" applyAlignment="1">
      <alignment horizontal="center"/>
    </xf>
    <xf numFmtId="0" fontId="34" fillId="8" borderId="19" xfId="0" applyFont="1" applyFill="1" applyBorder="1" applyAlignment="1">
      <alignment horizontal="center"/>
    </xf>
    <xf numFmtId="0" fontId="34" fillId="8" borderId="20" xfId="0" applyFont="1" applyFill="1" applyBorder="1" applyAlignment="1">
      <alignment horizontal="center"/>
    </xf>
    <xf numFmtId="0" fontId="34" fillId="8" borderId="18" xfId="0" applyFont="1" applyFill="1" applyBorder="1" applyAlignment="1">
      <alignment horizontal="center"/>
    </xf>
    <xf numFmtId="0" fontId="30" fillId="9" borderId="21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30" fillId="9" borderId="23" xfId="0" applyFont="1" applyFill="1" applyBorder="1" applyAlignment="1">
      <alignment horizontal="center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wrapText="1"/>
    </xf>
    <xf numFmtId="0" fontId="44" fillId="0" borderId="0" xfId="0" applyFont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16" fillId="9" borderId="0" xfId="0" applyFont="1" applyFill="1" applyAlignment="1">
      <alignment horizontal="center"/>
    </xf>
    <xf numFmtId="0" fontId="13" fillId="14" borderId="2" xfId="0" applyFont="1" applyFill="1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3" fillId="11" borderId="0" xfId="0" applyFont="1" applyFill="1" applyAlignment="1">
      <alignment horizontal="center"/>
    </xf>
  </cellXfs>
  <cellStyles count="39">
    <cellStyle name="Comma" xfId="1" builtinId="3"/>
    <cellStyle name="Comma 2" xfId="13" xr:uid="{00000000-0005-0000-0000-000001000000}"/>
    <cellStyle name="Comma 2 2" xfId="34" xr:uid="{F5663FE3-61D4-483E-B1B1-2F9F8C187501}"/>
    <cellStyle name="Comma 3" xfId="16" xr:uid="{00000000-0005-0000-0000-000002000000}"/>
    <cellStyle name="Comma 3 2" xfId="37" xr:uid="{AD35EEF8-0386-4F79-A3DE-D74FFCC40E8D}"/>
    <cellStyle name="Comma 4" xfId="22" xr:uid="{3D3AEF85-A6C2-4AE7-86D8-9AEE8920E51F}"/>
    <cellStyle name="Currency" xfId="2" builtinId="4"/>
    <cellStyle name="Currency 2" xfId="23" xr:uid="{E63AF594-91BD-47F5-AA9A-D5F906345CC4}"/>
    <cellStyle name="Currency 2 2" xfId="5" xr:uid="{00000000-0005-0000-0000-000004000000}"/>
    <cellStyle name="Currency 2 2 2" xfId="26" xr:uid="{29D3C75F-2A04-480D-9F70-278FA86AAFC2}"/>
    <cellStyle name="Moneda 2" xfId="8" xr:uid="{00000000-0005-0000-0000-000006000000}"/>
    <cellStyle name="Moneda 2 2" xfId="29" xr:uid="{DA199C03-3F4E-4688-8266-D35E44F6DD27}"/>
    <cellStyle name="Normal" xfId="0" builtinId="0"/>
    <cellStyle name="Normal 10" xfId="15" xr:uid="{00000000-0005-0000-0000-000008000000}"/>
    <cellStyle name="Normal 10 2" xfId="36" xr:uid="{9BF62AD7-E522-4CFC-82EF-6C7C29B381C3}"/>
    <cellStyle name="Normal 11" xfId="17" xr:uid="{00000000-0005-0000-0000-000009000000}"/>
    <cellStyle name="Normal 11 2" xfId="38" xr:uid="{25AB3ECC-F133-4CF0-B541-AE9997D948DB}"/>
    <cellStyle name="Normal 12" xfId="18" xr:uid="{EBF3E34C-909E-0347-B62F-2A059378D280}"/>
    <cellStyle name="Normal 2" xfId="4" xr:uid="{00000000-0005-0000-0000-00000A000000}"/>
    <cellStyle name="Normal 2 2" xfId="25" xr:uid="{89B560D6-BD3C-4556-8767-36147382D463}"/>
    <cellStyle name="Normal 3" xfId="6" xr:uid="{00000000-0005-0000-0000-00000B000000}"/>
    <cellStyle name="Normal 3 2" xfId="27" xr:uid="{21CA53A2-EACB-4A15-B81F-68E9D17B0968}"/>
    <cellStyle name="Normal 4" xfId="7" xr:uid="{00000000-0005-0000-0000-00000C000000}"/>
    <cellStyle name="Normal 4 2" xfId="28" xr:uid="{54C0DED0-D7F3-416F-98C6-58CD575CD83B}"/>
    <cellStyle name="Normal 5" xfId="9" xr:uid="{00000000-0005-0000-0000-00000D000000}"/>
    <cellStyle name="Normal 5 2" xfId="30" xr:uid="{EB147A08-6161-4F90-8968-05B951A6860F}"/>
    <cellStyle name="Normal 6" xfId="10" xr:uid="{00000000-0005-0000-0000-00000E000000}"/>
    <cellStyle name="Normal 6 2" xfId="31" xr:uid="{3F93041D-41CC-4169-9C69-C295DFD42A70}"/>
    <cellStyle name="Normal 7" xfId="11" xr:uid="{00000000-0005-0000-0000-00000F000000}"/>
    <cellStyle name="Normal 7 2" xfId="32" xr:uid="{D2438472-C773-4A52-9B55-12E44B7F3262}"/>
    <cellStyle name="Normal 8" xfId="12" xr:uid="{00000000-0005-0000-0000-000010000000}"/>
    <cellStyle name="Normal 8 2" xfId="33" xr:uid="{EC6F7093-5900-4DA3-B142-EA27896E4CA9}"/>
    <cellStyle name="Normal 9" xfId="14" xr:uid="{00000000-0005-0000-0000-000011000000}"/>
    <cellStyle name="Normal 9 2" xfId="35" xr:uid="{7075097A-E412-4CF2-A2E5-54BAA6A09773}"/>
    <cellStyle name="Normal_ISPT ART 80 FETASA2000" xfId="20" xr:uid="{3D9A55A8-F901-44CB-8E50-7B416D754E13}"/>
    <cellStyle name="Percent" xfId="3" builtinId="5"/>
    <cellStyle name="Percent 2" xfId="19" xr:uid="{9EEC1DBB-2BD5-1C43-BA25-0C1324FFE30F}"/>
    <cellStyle name="Percent 3" xfId="24" xr:uid="{5E27B204-2A5C-4A68-BC5A-EE9B8070E005}"/>
    <cellStyle name="Porcentaje 2" xfId="21" xr:uid="{E0A1B689-8C50-4795-902E-DAED915A20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8CA2-6147-7C49-8A77-D131FF2733E3}">
  <dimension ref="A2:Z42"/>
  <sheetViews>
    <sheetView showGridLines="0" zoomScaleNormal="100" workbookViewId="0">
      <selection activeCell="I33" sqref="I33"/>
    </sheetView>
  </sheetViews>
  <sheetFormatPr defaultColWidth="10" defaultRowHeight="10.199999999999999" x14ac:dyDescent="0.2"/>
  <cols>
    <col min="1" max="1" width="15.6640625" style="252" bestFit="1" customWidth="1"/>
    <col min="2" max="2" width="10" style="252" bestFit="1" customWidth="1"/>
    <col min="3" max="3" width="10.44140625" style="252" bestFit="1" customWidth="1"/>
    <col min="4" max="4" width="8.88671875" style="252" bestFit="1" customWidth="1"/>
    <col min="5" max="7" width="8.88671875" style="289" customWidth="1"/>
    <col min="8" max="8" width="15.6640625" style="252" bestFit="1" customWidth="1"/>
    <col min="9" max="9" width="10" style="252" bestFit="1" customWidth="1"/>
    <col min="10" max="10" width="10.44140625" style="252" bestFit="1" customWidth="1"/>
    <col min="11" max="11" width="8.88671875" style="252" customWidth="1"/>
    <col min="12" max="12" width="5.44140625" style="252" customWidth="1"/>
    <col min="13" max="13" width="15.6640625" style="279" bestFit="1" customWidth="1"/>
    <col min="14" max="14" width="10" style="279" bestFit="1" customWidth="1"/>
    <col min="15" max="15" width="10.44140625" style="279" bestFit="1" customWidth="1"/>
    <col min="16" max="16" width="8.88671875" style="279" bestFit="1" customWidth="1"/>
    <col min="17" max="17" width="5.33203125" style="252" customWidth="1"/>
    <col min="18" max="18" width="15.6640625" style="252" bestFit="1" customWidth="1"/>
    <col min="19" max="19" width="10" style="252" bestFit="1" customWidth="1"/>
    <col min="20" max="20" width="10.44140625" style="252" customWidth="1"/>
    <col min="21" max="21" width="8.88671875" style="252" bestFit="1" customWidth="1"/>
    <col min="22" max="22" width="4.6640625" style="252" customWidth="1"/>
    <col min="23" max="23" width="15.6640625" style="252" bestFit="1" customWidth="1"/>
    <col min="24" max="24" width="10" style="252" bestFit="1" customWidth="1"/>
    <col min="25" max="25" width="10.44140625" style="252" bestFit="1" customWidth="1"/>
    <col min="26" max="26" width="8.88671875" style="252" bestFit="1" customWidth="1"/>
    <col min="27" max="16384" width="10" style="252"/>
  </cols>
  <sheetData>
    <row r="2" spans="1:26" x14ac:dyDescent="0.2">
      <c r="O2" s="303" t="s">
        <v>198</v>
      </c>
      <c r="P2" s="303"/>
      <c r="Q2" s="303"/>
    </row>
    <row r="3" spans="1:26" x14ac:dyDescent="0.2">
      <c r="A3" s="305" t="s">
        <v>199</v>
      </c>
      <c r="B3" s="306"/>
      <c r="C3" s="306"/>
      <c r="D3" s="307"/>
      <c r="E3" s="290"/>
      <c r="F3" s="290"/>
      <c r="G3" s="290"/>
      <c r="H3" s="314" t="s">
        <v>200</v>
      </c>
      <c r="I3" s="314"/>
      <c r="J3" s="314"/>
      <c r="K3" s="314"/>
      <c r="M3" s="311" t="s">
        <v>200</v>
      </c>
      <c r="N3" s="311"/>
      <c r="O3" s="311"/>
      <c r="P3" s="311"/>
      <c r="R3" s="312" t="s">
        <v>201</v>
      </c>
      <c r="S3" s="312"/>
      <c r="T3" s="312"/>
      <c r="U3" s="312"/>
      <c r="W3" s="312" t="s">
        <v>202</v>
      </c>
      <c r="X3" s="312"/>
      <c r="Y3" s="312"/>
      <c r="Z3" s="312"/>
    </row>
    <row r="4" spans="1:26" x14ac:dyDescent="0.2">
      <c r="A4" s="308"/>
      <c r="B4" s="309"/>
      <c r="C4" s="309"/>
      <c r="D4" s="310"/>
      <c r="E4" s="290"/>
      <c r="F4" s="290"/>
      <c r="G4" s="290"/>
      <c r="H4" s="313" t="s">
        <v>203</v>
      </c>
      <c r="I4" s="313"/>
      <c r="J4" s="313"/>
      <c r="K4" s="313"/>
      <c r="L4" s="253"/>
      <c r="M4" s="311" t="s">
        <v>203</v>
      </c>
      <c r="N4" s="311"/>
      <c r="O4" s="311"/>
      <c r="P4" s="311"/>
      <c r="Q4" s="253"/>
      <c r="R4" s="313" t="s">
        <v>204</v>
      </c>
      <c r="S4" s="313"/>
      <c r="T4" s="313"/>
      <c r="U4" s="313"/>
      <c r="V4" s="253"/>
      <c r="W4" s="313" t="s">
        <v>205</v>
      </c>
      <c r="X4" s="313"/>
      <c r="Y4" s="313"/>
      <c r="Z4" s="313"/>
    </row>
    <row r="5" spans="1:26" x14ac:dyDescent="0.2">
      <c r="A5" s="254" t="s">
        <v>206</v>
      </c>
      <c r="B5" s="254" t="s">
        <v>28</v>
      </c>
      <c r="C5" s="254" t="s">
        <v>207</v>
      </c>
      <c r="D5" s="254" t="s">
        <v>30</v>
      </c>
      <c r="E5" s="291"/>
      <c r="F5" s="291"/>
      <c r="G5" s="291"/>
      <c r="H5" s="254" t="s">
        <v>206</v>
      </c>
      <c r="I5" s="254" t="s">
        <v>28</v>
      </c>
      <c r="J5" s="254" t="s">
        <v>207</v>
      </c>
      <c r="K5" s="254" t="s">
        <v>30</v>
      </c>
      <c r="L5" s="253"/>
      <c r="M5" s="280" t="s">
        <v>206</v>
      </c>
      <c r="N5" s="280" t="s">
        <v>28</v>
      </c>
      <c r="O5" s="280" t="s">
        <v>207</v>
      </c>
      <c r="P5" s="280" t="s">
        <v>30</v>
      </c>
      <c r="Q5" s="253"/>
      <c r="R5" s="254" t="s">
        <v>206</v>
      </c>
      <c r="S5" s="254" t="s">
        <v>28</v>
      </c>
      <c r="T5" s="254" t="s">
        <v>207</v>
      </c>
      <c r="U5" s="254" t="s">
        <v>30</v>
      </c>
      <c r="V5" s="253"/>
      <c r="W5" s="254" t="s">
        <v>206</v>
      </c>
      <c r="X5" s="254" t="s">
        <v>28</v>
      </c>
      <c r="Y5" s="254" t="s">
        <v>207</v>
      </c>
      <c r="Z5" s="254" t="s">
        <v>30</v>
      </c>
    </row>
    <row r="6" spans="1:26" x14ac:dyDescent="0.2">
      <c r="A6" s="255">
        <v>1</v>
      </c>
      <c r="B6" s="255">
        <v>12</v>
      </c>
      <c r="C6" s="256">
        <v>0.25</v>
      </c>
      <c r="D6" s="255">
        <v>15</v>
      </c>
      <c r="E6" s="292"/>
      <c r="F6" s="292"/>
      <c r="G6" s="292"/>
      <c r="H6" s="255">
        <v>1</v>
      </c>
      <c r="I6" s="255">
        <v>12</v>
      </c>
      <c r="J6" s="256">
        <v>0.3</v>
      </c>
      <c r="K6" s="255">
        <v>17</v>
      </c>
      <c r="M6" s="281">
        <v>1</v>
      </c>
      <c r="N6" s="281">
        <v>8</v>
      </c>
      <c r="O6" s="282">
        <v>0.3</v>
      </c>
      <c r="P6" s="281">
        <v>17</v>
      </c>
      <c r="R6" s="255">
        <v>1</v>
      </c>
      <c r="S6" s="255">
        <v>10</v>
      </c>
      <c r="T6" s="256">
        <v>0.35</v>
      </c>
      <c r="U6" s="255">
        <v>18</v>
      </c>
      <c r="W6" s="257">
        <v>1</v>
      </c>
      <c r="X6" s="257">
        <v>12</v>
      </c>
      <c r="Y6" s="258">
        <v>0.35</v>
      </c>
      <c r="Z6" s="257">
        <v>20</v>
      </c>
    </row>
    <row r="7" spans="1:26" x14ac:dyDescent="0.2">
      <c r="A7" s="295">
        <v>2</v>
      </c>
      <c r="B7" s="295">
        <v>14</v>
      </c>
      <c r="C7" s="296">
        <v>0.25</v>
      </c>
      <c r="D7" s="295">
        <v>15</v>
      </c>
      <c r="E7" s="292"/>
      <c r="F7" s="292"/>
      <c r="G7" s="292"/>
      <c r="H7" s="255">
        <v>2</v>
      </c>
      <c r="I7" s="255">
        <v>14</v>
      </c>
      <c r="J7" s="256">
        <v>0.3</v>
      </c>
      <c r="K7" s="255">
        <v>17</v>
      </c>
      <c r="M7" s="281">
        <v>2</v>
      </c>
      <c r="N7" s="281">
        <v>10</v>
      </c>
      <c r="O7" s="282">
        <v>0.3</v>
      </c>
      <c r="P7" s="281">
        <v>17</v>
      </c>
      <c r="R7" s="255">
        <v>2</v>
      </c>
      <c r="S7" s="255">
        <v>12</v>
      </c>
      <c r="T7" s="256">
        <v>0.35</v>
      </c>
      <c r="U7" s="255">
        <v>18</v>
      </c>
      <c r="W7" s="257">
        <v>2</v>
      </c>
      <c r="X7" s="257">
        <v>14</v>
      </c>
      <c r="Y7" s="258">
        <v>0.35</v>
      </c>
      <c r="Z7" s="257">
        <v>20</v>
      </c>
    </row>
    <row r="8" spans="1:26" x14ac:dyDescent="0.2">
      <c r="A8" s="255">
        <v>3</v>
      </c>
      <c r="B8" s="255">
        <v>16</v>
      </c>
      <c r="C8" s="256">
        <v>0.25</v>
      </c>
      <c r="D8" s="255">
        <v>15</v>
      </c>
      <c r="E8" s="292"/>
      <c r="F8" s="292"/>
      <c r="G8" s="292"/>
      <c r="H8" s="255">
        <v>3</v>
      </c>
      <c r="I8" s="255">
        <v>16</v>
      </c>
      <c r="J8" s="256">
        <v>0.3</v>
      </c>
      <c r="K8" s="255">
        <v>17</v>
      </c>
      <c r="M8" s="281">
        <v>3</v>
      </c>
      <c r="N8" s="281">
        <v>12</v>
      </c>
      <c r="O8" s="282">
        <v>0.3</v>
      </c>
      <c r="P8" s="281">
        <v>17</v>
      </c>
      <c r="R8" s="255">
        <v>3</v>
      </c>
      <c r="S8" s="255">
        <v>14</v>
      </c>
      <c r="T8" s="256">
        <v>0.35</v>
      </c>
      <c r="U8" s="255">
        <v>18</v>
      </c>
      <c r="W8" s="257">
        <v>3</v>
      </c>
      <c r="X8" s="257">
        <v>16</v>
      </c>
      <c r="Y8" s="258">
        <v>0.35</v>
      </c>
      <c r="Z8" s="257">
        <v>20</v>
      </c>
    </row>
    <row r="9" spans="1:26" x14ac:dyDescent="0.2">
      <c r="A9" s="255">
        <v>4</v>
      </c>
      <c r="B9" s="255">
        <v>18</v>
      </c>
      <c r="C9" s="256">
        <v>0.25</v>
      </c>
      <c r="D9" s="255">
        <v>15</v>
      </c>
      <c r="E9" s="292"/>
      <c r="F9" s="292"/>
      <c r="G9" s="292"/>
      <c r="H9" s="255">
        <v>4</v>
      </c>
      <c r="I9" s="255">
        <v>18</v>
      </c>
      <c r="J9" s="256">
        <v>0.3</v>
      </c>
      <c r="K9" s="255">
        <v>17</v>
      </c>
      <c r="M9" s="281">
        <v>4</v>
      </c>
      <c r="N9" s="281">
        <v>14</v>
      </c>
      <c r="O9" s="282">
        <v>0.3</v>
      </c>
      <c r="P9" s="281">
        <v>17</v>
      </c>
      <c r="R9" s="255">
        <v>4</v>
      </c>
      <c r="S9" s="255">
        <v>16</v>
      </c>
      <c r="T9" s="256">
        <v>0.35</v>
      </c>
      <c r="U9" s="255">
        <v>18</v>
      </c>
      <c r="W9" s="257">
        <v>4</v>
      </c>
      <c r="X9" s="257">
        <v>18</v>
      </c>
      <c r="Y9" s="258">
        <v>0.35</v>
      </c>
      <c r="Z9" s="257">
        <v>20</v>
      </c>
    </row>
    <row r="10" spans="1:26" x14ac:dyDescent="0.2">
      <c r="A10" s="255">
        <v>5</v>
      </c>
      <c r="B10" s="255">
        <v>20</v>
      </c>
      <c r="C10" s="256">
        <v>0.25</v>
      </c>
      <c r="D10" s="255">
        <v>15</v>
      </c>
      <c r="E10" s="292"/>
      <c r="F10" s="292"/>
      <c r="G10" s="292"/>
      <c r="H10" s="255">
        <v>5</v>
      </c>
      <c r="I10" s="255">
        <v>20</v>
      </c>
      <c r="J10" s="256">
        <v>0.3</v>
      </c>
      <c r="K10" s="255">
        <v>17</v>
      </c>
      <c r="M10" s="281">
        <v>5</v>
      </c>
      <c r="N10" s="281">
        <v>16</v>
      </c>
      <c r="O10" s="282">
        <v>0.3</v>
      </c>
      <c r="P10" s="281">
        <v>17</v>
      </c>
      <c r="R10" s="255">
        <v>5</v>
      </c>
      <c r="S10" s="255">
        <v>18</v>
      </c>
      <c r="T10" s="256">
        <v>0.35</v>
      </c>
      <c r="U10" s="255">
        <v>18</v>
      </c>
      <c r="W10" s="257">
        <v>5</v>
      </c>
      <c r="X10" s="257">
        <v>20</v>
      </c>
      <c r="Y10" s="258">
        <v>0.35</v>
      </c>
      <c r="Z10" s="257">
        <v>20</v>
      </c>
    </row>
    <row r="11" spans="1:26" x14ac:dyDescent="0.2">
      <c r="A11" s="255">
        <v>10</v>
      </c>
      <c r="B11" s="255">
        <v>22</v>
      </c>
      <c r="C11" s="256">
        <v>0.25</v>
      </c>
      <c r="D11" s="255">
        <v>15</v>
      </c>
      <c r="E11" s="292"/>
      <c r="F11" s="292"/>
      <c r="G11" s="292"/>
      <c r="H11" s="255">
        <v>10</v>
      </c>
      <c r="I11" s="255">
        <v>22</v>
      </c>
      <c r="J11" s="256">
        <v>0.3</v>
      </c>
      <c r="K11" s="255">
        <v>17</v>
      </c>
      <c r="M11" s="281">
        <v>10</v>
      </c>
      <c r="N11" s="281">
        <v>18</v>
      </c>
      <c r="O11" s="282">
        <v>0.3</v>
      </c>
      <c r="P11" s="281">
        <v>17</v>
      </c>
      <c r="R11" s="255">
        <v>10</v>
      </c>
      <c r="S11" s="255">
        <v>20</v>
      </c>
      <c r="T11" s="256">
        <v>0.35</v>
      </c>
      <c r="U11" s="255">
        <v>18</v>
      </c>
      <c r="W11" s="257">
        <v>10</v>
      </c>
      <c r="X11" s="257">
        <v>22</v>
      </c>
      <c r="Y11" s="258">
        <v>0.35</v>
      </c>
      <c r="Z11" s="257">
        <v>20</v>
      </c>
    </row>
    <row r="12" spans="1:26" x14ac:dyDescent="0.2">
      <c r="A12" s="255">
        <v>15</v>
      </c>
      <c r="B12" s="255">
        <v>24</v>
      </c>
      <c r="C12" s="256">
        <v>0.25</v>
      </c>
      <c r="D12" s="255">
        <v>15</v>
      </c>
      <c r="E12" s="292"/>
      <c r="F12" s="292"/>
      <c r="G12" s="292"/>
      <c r="H12" s="255">
        <v>15</v>
      </c>
      <c r="I12" s="255">
        <v>24</v>
      </c>
      <c r="J12" s="256">
        <v>0.3</v>
      </c>
      <c r="K12" s="255">
        <v>17</v>
      </c>
      <c r="M12" s="281">
        <v>15</v>
      </c>
      <c r="N12" s="281">
        <v>20</v>
      </c>
      <c r="O12" s="282">
        <v>0.3</v>
      </c>
      <c r="P12" s="281">
        <v>17</v>
      </c>
      <c r="R12" s="255">
        <v>15</v>
      </c>
      <c r="S12" s="255">
        <v>22</v>
      </c>
      <c r="T12" s="256">
        <v>0.35</v>
      </c>
      <c r="U12" s="255">
        <v>18</v>
      </c>
      <c r="W12" s="257">
        <v>15</v>
      </c>
      <c r="X12" s="257">
        <v>22</v>
      </c>
      <c r="Y12" s="258">
        <v>0.35</v>
      </c>
      <c r="Z12" s="257">
        <v>20</v>
      </c>
    </row>
    <row r="13" spans="1:26" x14ac:dyDescent="0.2">
      <c r="A13" s="255">
        <v>20</v>
      </c>
      <c r="B13" s="255">
        <v>26</v>
      </c>
      <c r="C13" s="256">
        <v>0.25</v>
      </c>
      <c r="D13" s="255">
        <v>15</v>
      </c>
      <c r="E13" s="292"/>
      <c r="F13" s="292"/>
      <c r="G13" s="292"/>
      <c r="H13" s="255">
        <v>20</v>
      </c>
      <c r="I13" s="255">
        <v>26</v>
      </c>
      <c r="J13" s="256">
        <v>0.3</v>
      </c>
      <c r="K13" s="255">
        <v>17</v>
      </c>
      <c r="M13" s="281">
        <v>20</v>
      </c>
      <c r="N13" s="281">
        <v>22</v>
      </c>
      <c r="O13" s="282">
        <v>0.3</v>
      </c>
      <c r="P13" s="281">
        <v>17</v>
      </c>
      <c r="R13" s="255">
        <v>20</v>
      </c>
      <c r="S13" s="255">
        <v>22</v>
      </c>
      <c r="T13" s="256">
        <v>0.35</v>
      </c>
      <c r="U13" s="255">
        <v>18</v>
      </c>
      <c r="W13" s="257">
        <v>20</v>
      </c>
      <c r="X13" s="257">
        <v>22</v>
      </c>
      <c r="Y13" s="258">
        <v>0.35</v>
      </c>
      <c r="Z13" s="257">
        <v>20</v>
      </c>
    </row>
    <row r="14" spans="1:26" x14ac:dyDescent="0.2">
      <c r="A14" s="255">
        <v>25</v>
      </c>
      <c r="B14" s="255">
        <v>28</v>
      </c>
      <c r="C14" s="256">
        <v>0.25</v>
      </c>
      <c r="D14" s="255">
        <v>15</v>
      </c>
      <c r="E14" s="292"/>
      <c r="F14" s="292"/>
      <c r="G14" s="292"/>
      <c r="H14" s="255">
        <v>25</v>
      </c>
      <c r="I14" s="255">
        <v>28</v>
      </c>
      <c r="J14" s="256">
        <v>0.3</v>
      </c>
      <c r="K14" s="255">
        <v>17</v>
      </c>
      <c r="M14" s="281">
        <v>25</v>
      </c>
      <c r="N14" s="281">
        <v>22</v>
      </c>
      <c r="O14" s="282">
        <v>0.3</v>
      </c>
      <c r="P14" s="281">
        <v>17</v>
      </c>
      <c r="R14" s="255">
        <v>25</v>
      </c>
      <c r="S14" s="255">
        <v>22</v>
      </c>
      <c r="T14" s="256">
        <v>0.35</v>
      </c>
      <c r="U14" s="255">
        <v>18</v>
      </c>
      <c r="W14" s="257">
        <v>25</v>
      </c>
      <c r="X14" s="257">
        <v>22</v>
      </c>
      <c r="Y14" s="258">
        <v>0.35</v>
      </c>
      <c r="Z14" s="257">
        <v>20</v>
      </c>
    </row>
    <row r="15" spans="1:26" x14ac:dyDescent="0.2">
      <c r="A15" s="255">
        <v>30</v>
      </c>
      <c r="B15" s="255">
        <v>30</v>
      </c>
      <c r="C15" s="256">
        <v>0.25</v>
      </c>
      <c r="D15" s="255">
        <v>15</v>
      </c>
      <c r="E15" s="292"/>
      <c r="F15" s="292"/>
      <c r="G15" s="292"/>
      <c r="H15" s="255">
        <v>30</v>
      </c>
      <c r="I15" s="255">
        <v>30</v>
      </c>
      <c r="J15" s="256">
        <v>0.3</v>
      </c>
      <c r="K15" s="255">
        <v>17</v>
      </c>
      <c r="M15" s="283"/>
      <c r="N15" s="283"/>
      <c r="O15" s="284"/>
      <c r="P15" s="283"/>
      <c r="R15" s="270"/>
      <c r="S15" s="270"/>
      <c r="T15" s="271"/>
      <c r="U15" s="270"/>
      <c r="Y15" s="272"/>
    </row>
    <row r="16" spans="1:26" x14ac:dyDescent="0.2">
      <c r="A16" s="255">
        <v>35</v>
      </c>
      <c r="B16" s="255">
        <v>32</v>
      </c>
      <c r="C16" s="256">
        <v>0.25</v>
      </c>
      <c r="D16" s="255">
        <v>15</v>
      </c>
      <c r="E16" s="292"/>
      <c r="F16" s="292"/>
      <c r="G16" s="292"/>
      <c r="H16" s="255">
        <v>35</v>
      </c>
      <c r="I16" s="255">
        <v>32</v>
      </c>
      <c r="J16" s="256">
        <v>0.3</v>
      </c>
      <c r="K16" s="255">
        <v>17</v>
      </c>
      <c r="M16" s="283"/>
      <c r="N16" s="283"/>
      <c r="O16" s="284"/>
      <c r="P16" s="283"/>
      <c r="R16" s="270"/>
      <c r="S16" s="270"/>
      <c r="T16" s="271"/>
      <c r="U16" s="270"/>
      <c r="Y16" s="272"/>
    </row>
    <row r="17" spans="1:26" x14ac:dyDescent="0.2">
      <c r="A17" s="270"/>
      <c r="B17" s="270"/>
      <c r="C17" s="271"/>
      <c r="D17" s="270"/>
      <c r="E17" s="292"/>
      <c r="F17" s="292"/>
      <c r="G17" s="292"/>
      <c r="H17" s="270"/>
      <c r="I17" s="270"/>
      <c r="J17" s="271"/>
      <c r="K17" s="270"/>
      <c r="M17" s="283"/>
      <c r="N17" s="283"/>
      <c r="O17" s="284"/>
      <c r="P17" s="283"/>
      <c r="R17" s="270"/>
      <c r="S17" s="270"/>
      <c r="T17" s="271"/>
      <c r="U17" s="270"/>
      <c r="Y17" s="272"/>
    </row>
    <row r="18" spans="1:26" x14ac:dyDescent="0.2">
      <c r="C18" s="259"/>
      <c r="J18" s="259"/>
      <c r="O18" s="285"/>
      <c r="T18" s="259"/>
      <c r="Y18" s="259"/>
    </row>
    <row r="19" spans="1:26" s="260" customFormat="1" x14ac:dyDescent="0.2">
      <c r="A19" s="260" t="s">
        <v>208</v>
      </c>
      <c r="C19" s="261"/>
      <c r="E19" s="289"/>
      <c r="F19" s="289"/>
      <c r="G19" s="289"/>
      <c r="H19" s="260" t="s">
        <v>208</v>
      </c>
      <c r="J19" s="261"/>
      <c r="L19" s="252"/>
      <c r="M19" s="279" t="s">
        <v>208</v>
      </c>
      <c r="N19" s="279"/>
      <c r="O19" s="285"/>
      <c r="P19" s="279"/>
      <c r="R19" s="260" t="s">
        <v>208</v>
      </c>
      <c r="T19" s="261"/>
      <c r="W19" s="260" t="s">
        <v>208</v>
      </c>
      <c r="Y19" s="261"/>
    </row>
    <row r="20" spans="1:26" x14ac:dyDescent="0.2">
      <c r="C20" s="262">
        <v>365</v>
      </c>
      <c r="J20" s="262">
        <v>365</v>
      </c>
      <c r="O20" s="286">
        <v>365</v>
      </c>
      <c r="S20" s="263"/>
      <c r="T20" s="262">
        <v>365</v>
      </c>
      <c r="X20" s="263"/>
      <c r="Y20" s="262">
        <v>365</v>
      </c>
    </row>
    <row r="21" spans="1:26" ht="13.35" customHeight="1" x14ac:dyDescent="0.2">
      <c r="A21" s="255">
        <v>1</v>
      </c>
      <c r="B21" s="257">
        <f>+(B6*C6)+D6+365</f>
        <v>383</v>
      </c>
      <c r="C21" s="277">
        <f>+B21/$C$20</f>
        <v>1.0493150684931507</v>
      </c>
      <c r="D21" s="252">
        <v>313</v>
      </c>
      <c r="E21" s="289">
        <f>+C21*D21</f>
        <v>328.43561643835619</v>
      </c>
      <c r="F21" s="289">
        <v>82.8</v>
      </c>
      <c r="G21" s="289">
        <f>+E21+F21</f>
        <v>411.2356164383562</v>
      </c>
      <c r="H21" s="255">
        <v>1</v>
      </c>
      <c r="I21" s="257">
        <f>+(I6*J6)+K6+365</f>
        <v>385.6</v>
      </c>
      <c r="J21" s="277">
        <f>+I21/$C$20</f>
        <v>1.0564383561643835</v>
      </c>
      <c r="M21" s="281">
        <v>1</v>
      </c>
      <c r="N21" s="287">
        <f>+(N6*O6)+P6+365</f>
        <v>384.4</v>
      </c>
      <c r="O21" s="288">
        <f>+N21/$O$20</f>
        <v>1.0531506849315069</v>
      </c>
      <c r="P21" s="279">
        <v>313</v>
      </c>
      <c r="Q21" s="252">
        <f>+O21*P21+82.8</f>
        <v>412.43616438356167</v>
      </c>
      <c r="R21" s="255">
        <v>1</v>
      </c>
      <c r="S21" s="257">
        <f t="shared" ref="S21:S29" si="0">+(S6*T6)+U6+365</f>
        <v>386.5</v>
      </c>
      <c r="T21" s="264">
        <f>+S21/$T$20</f>
        <v>1.058904109589041</v>
      </c>
      <c r="W21" s="255">
        <v>1</v>
      </c>
      <c r="X21" s="257">
        <f t="shared" ref="X21:X29" si="1">+(X6*Y6)+Z6+365</f>
        <v>389.2</v>
      </c>
      <c r="Y21" s="264">
        <f>+X21/$Y$20</f>
        <v>1.0663013698630137</v>
      </c>
    </row>
    <row r="22" spans="1:26" x14ac:dyDescent="0.2">
      <c r="A22" s="255">
        <v>2</v>
      </c>
      <c r="B22" s="257">
        <f t="shared" ref="B22:B31" si="2">+(B7*C7)+D7+365</f>
        <v>383.5</v>
      </c>
      <c r="C22" s="278">
        <f>+B22/$C$20</f>
        <v>1.0506849315068494</v>
      </c>
      <c r="D22" s="252">
        <v>483</v>
      </c>
      <c r="E22" s="289">
        <f>+C22*D22</f>
        <v>507.48082191780827</v>
      </c>
      <c r="F22" s="289">
        <v>83.38</v>
      </c>
      <c r="G22" s="289">
        <f t="shared" ref="G22" si="3">+E22+F22</f>
        <v>590.86082191780827</v>
      </c>
      <c r="H22" s="255">
        <v>2</v>
      </c>
      <c r="I22" s="257">
        <f t="shared" ref="I22:I31" si="4">+(I7*J7)+K7+365</f>
        <v>386.2</v>
      </c>
      <c r="J22" s="278">
        <f>+I22/$C$20</f>
        <v>1.0580821917808219</v>
      </c>
      <c r="M22" s="281">
        <v>2</v>
      </c>
      <c r="N22" s="287">
        <f t="shared" ref="N22:N29" si="5">+(N7*O7)+P7+365</f>
        <v>385</v>
      </c>
      <c r="O22" s="288">
        <f t="shared" ref="O22:O29" si="6">+N22/$O$20</f>
        <v>1.0547945205479452</v>
      </c>
      <c r="P22" s="279">
        <v>313</v>
      </c>
      <c r="Q22" s="252">
        <f>+O22*P22+82.8</f>
        <v>412.95068493150688</v>
      </c>
      <c r="R22" s="255">
        <v>2</v>
      </c>
      <c r="S22" s="257">
        <f t="shared" si="0"/>
        <v>387.2</v>
      </c>
      <c r="T22" s="264">
        <f t="shared" ref="T22:T29" si="7">+S22/$T$20</f>
        <v>1.0608219178082192</v>
      </c>
      <c r="W22" s="255">
        <v>2</v>
      </c>
      <c r="X22" s="257">
        <f t="shared" si="1"/>
        <v>389.9</v>
      </c>
      <c r="Y22" s="264">
        <f t="shared" ref="Y22:Y29" si="8">+X22/$Y$20</f>
        <v>1.0682191780821917</v>
      </c>
    </row>
    <row r="23" spans="1:26" x14ac:dyDescent="0.2">
      <c r="A23" s="255">
        <v>3</v>
      </c>
      <c r="B23" s="257">
        <f t="shared" si="2"/>
        <v>384</v>
      </c>
      <c r="C23" s="278">
        <f t="shared" ref="C23:C31" si="9">+B23/$C$20</f>
        <v>1.0520547945205478</v>
      </c>
      <c r="H23" s="255">
        <v>3</v>
      </c>
      <c r="I23" s="257">
        <f t="shared" si="4"/>
        <v>386.8</v>
      </c>
      <c r="J23" s="278">
        <f t="shared" ref="J23:J31" si="10">+I23/$C$20</f>
        <v>1.0597260273972604</v>
      </c>
      <c r="M23" s="281">
        <v>3</v>
      </c>
      <c r="N23" s="287">
        <f t="shared" si="5"/>
        <v>385.6</v>
      </c>
      <c r="O23" s="288">
        <f t="shared" si="6"/>
        <v>1.0564383561643835</v>
      </c>
      <c r="R23" s="255">
        <v>3</v>
      </c>
      <c r="S23" s="257">
        <f t="shared" si="0"/>
        <v>387.9</v>
      </c>
      <c r="T23" s="264">
        <f t="shared" si="7"/>
        <v>1.0627397260273972</v>
      </c>
      <c r="W23" s="255">
        <v>3</v>
      </c>
      <c r="X23" s="257">
        <f t="shared" si="1"/>
        <v>390.6</v>
      </c>
      <c r="Y23" s="264">
        <f t="shared" si="8"/>
        <v>1.0701369863013699</v>
      </c>
    </row>
    <row r="24" spans="1:26" x14ac:dyDescent="0.2">
      <c r="A24" s="255">
        <v>4</v>
      </c>
      <c r="B24" s="257">
        <f t="shared" si="2"/>
        <v>384.5</v>
      </c>
      <c r="C24" s="278">
        <f t="shared" si="9"/>
        <v>1.0534246575342465</v>
      </c>
      <c r="H24" s="255">
        <v>4</v>
      </c>
      <c r="I24" s="257">
        <f t="shared" si="4"/>
        <v>387.4</v>
      </c>
      <c r="J24" s="278">
        <f t="shared" si="10"/>
        <v>1.0613698630136985</v>
      </c>
      <c r="M24" s="281">
        <v>4</v>
      </c>
      <c r="N24" s="287">
        <f t="shared" si="5"/>
        <v>386.2</v>
      </c>
      <c r="O24" s="288">
        <f t="shared" si="6"/>
        <v>1.0580821917808219</v>
      </c>
      <c r="R24" s="255">
        <v>4</v>
      </c>
      <c r="S24" s="257">
        <f t="shared" si="0"/>
        <v>388.6</v>
      </c>
      <c r="T24" s="264">
        <f t="shared" si="7"/>
        <v>1.0646575342465754</v>
      </c>
      <c r="W24" s="255">
        <v>4</v>
      </c>
      <c r="X24" s="257">
        <f t="shared" si="1"/>
        <v>391.3</v>
      </c>
      <c r="Y24" s="264">
        <f t="shared" si="8"/>
        <v>1.0720547945205481</v>
      </c>
    </row>
    <row r="25" spans="1:26" x14ac:dyDescent="0.2">
      <c r="A25" s="255">
        <v>5</v>
      </c>
      <c r="B25" s="257">
        <f t="shared" si="2"/>
        <v>385</v>
      </c>
      <c r="C25" s="278">
        <f t="shared" si="9"/>
        <v>1.0547945205479452</v>
      </c>
      <c r="H25" s="255">
        <v>5</v>
      </c>
      <c r="I25" s="257">
        <f t="shared" si="4"/>
        <v>388</v>
      </c>
      <c r="J25" s="278">
        <f t="shared" si="10"/>
        <v>1.0630136986301371</v>
      </c>
      <c r="M25" s="281">
        <v>5</v>
      </c>
      <c r="N25" s="287">
        <f t="shared" si="5"/>
        <v>386.8</v>
      </c>
      <c r="O25" s="288">
        <f t="shared" si="6"/>
        <v>1.0597260273972604</v>
      </c>
      <c r="R25" s="255">
        <v>5</v>
      </c>
      <c r="S25" s="257">
        <f t="shared" si="0"/>
        <v>389.3</v>
      </c>
      <c r="T25" s="264">
        <f t="shared" si="7"/>
        <v>1.0665753424657534</v>
      </c>
      <c r="W25" s="265">
        <v>5</v>
      </c>
      <c r="X25" s="266">
        <f t="shared" si="1"/>
        <v>392</v>
      </c>
      <c r="Y25" s="267">
        <f t="shared" si="8"/>
        <v>1.0739726027397261</v>
      </c>
    </row>
    <row r="26" spans="1:26" x14ac:dyDescent="0.2">
      <c r="A26" s="255">
        <v>10</v>
      </c>
      <c r="B26" s="257">
        <f t="shared" si="2"/>
        <v>385.5</v>
      </c>
      <c r="C26" s="278">
        <f t="shared" si="9"/>
        <v>1.0561643835616439</v>
      </c>
      <c r="H26" s="255">
        <v>10</v>
      </c>
      <c r="I26" s="257">
        <f t="shared" si="4"/>
        <v>388.6</v>
      </c>
      <c r="J26" s="278">
        <f t="shared" si="10"/>
        <v>1.0646575342465754</v>
      </c>
      <c r="M26" s="281">
        <v>10</v>
      </c>
      <c r="N26" s="287">
        <f t="shared" si="5"/>
        <v>387.4</v>
      </c>
      <c r="O26" s="288">
        <f t="shared" si="6"/>
        <v>1.0613698630136985</v>
      </c>
      <c r="R26" s="255">
        <v>10</v>
      </c>
      <c r="S26" s="257">
        <f t="shared" si="0"/>
        <v>390</v>
      </c>
      <c r="T26" s="264">
        <f t="shared" si="7"/>
        <v>1.0684931506849316</v>
      </c>
      <c r="W26" s="255">
        <v>10</v>
      </c>
      <c r="X26" s="257">
        <f t="shared" si="1"/>
        <v>392.7</v>
      </c>
      <c r="Y26" s="264">
        <f t="shared" si="8"/>
        <v>1.075890410958904</v>
      </c>
    </row>
    <row r="27" spans="1:26" x14ac:dyDescent="0.2">
      <c r="A27" s="255">
        <v>15</v>
      </c>
      <c r="B27" s="257">
        <f t="shared" si="2"/>
        <v>386</v>
      </c>
      <c r="C27" s="278">
        <f t="shared" si="9"/>
        <v>1.0575342465753426</v>
      </c>
      <c r="H27" s="255">
        <v>15</v>
      </c>
      <c r="I27" s="257">
        <f t="shared" si="4"/>
        <v>389.2</v>
      </c>
      <c r="J27" s="278">
        <f t="shared" si="10"/>
        <v>1.0663013698630137</v>
      </c>
      <c r="M27" s="281">
        <v>15</v>
      </c>
      <c r="N27" s="287">
        <f t="shared" si="5"/>
        <v>388</v>
      </c>
      <c r="O27" s="288">
        <f t="shared" si="6"/>
        <v>1.0630136986301371</v>
      </c>
      <c r="R27" s="255">
        <v>15</v>
      </c>
      <c r="S27" s="257">
        <f t="shared" si="0"/>
        <v>390.7</v>
      </c>
      <c r="T27" s="264">
        <f t="shared" si="7"/>
        <v>1.0704109589041095</v>
      </c>
      <c r="W27" s="255">
        <v>15</v>
      </c>
      <c r="X27" s="257">
        <f t="shared" si="1"/>
        <v>392.7</v>
      </c>
      <c r="Y27" s="264">
        <f t="shared" si="8"/>
        <v>1.075890410958904</v>
      </c>
    </row>
    <row r="28" spans="1:26" x14ac:dyDescent="0.2">
      <c r="A28" s="255">
        <v>20</v>
      </c>
      <c r="B28" s="257">
        <f t="shared" si="2"/>
        <v>386.5</v>
      </c>
      <c r="C28" s="278">
        <f t="shared" si="9"/>
        <v>1.058904109589041</v>
      </c>
      <c r="H28" s="255">
        <v>20</v>
      </c>
      <c r="I28" s="257">
        <f t="shared" si="4"/>
        <v>389.8</v>
      </c>
      <c r="J28" s="278">
        <f t="shared" si="10"/>
        <v>1.067945205479452</v>
      </c>
      <c r="M28" s="281">
        <v>20</v>
      </c>
      <c r="N28" s="287">
        <f t="shared" si="5"/>
        <v>388.6</v>
      </c>
      <c r="O28" s="288">
        <f t="shared" si="6"/>
        <v>1.0646575342465754</v>
      </c>
      <c r="R28" s="255">
        <v>20</v>
      </c>
      <c r="S28" s="257">
        <f t="shared" si="0"/>
        <v>390.7</v>
      </c>
      <c r="T28" s="264">
        <f t="shared" si="7"/>
        <v>1.0704109589041095</v>
      </c>
      <c r="W28" s="255">
        <v>20</v>
      </c>
      <c r="X28" s="257">
        <f t="shared" si="1"/>
        <v>392.7</v>
      </c>
      <c r="Y28" s="264">
        <f t="shared" si="8"/>
        <v>1.075890410958904</v>
      </c>
    </row>
    <row r="29" spans="1:26" x14ac:dyDescent="0.2">
      <c r="A29" s="255">
        <v>25</v>
      </c>
      <c r="B29" s="257">
        <f t="shared" si="2"/>
        <v>387</v>
      </c>
      <c r="C29" s="278">
        <f t="shared" si="9"/>
        <v>1.0602739726027397</v>
      </c>
      <c r="H29" s="255">
        <v>25</v>
      </c>
      <c r="I29" s="257">
        <f t="shared" si="4"/>
        <v>390.4</v>
      </c>
      <c r="J29" s="278">
        <f t="shared" si="10"/>
        <v>1.0695890410958904</v>
      </c>
      <c r="M29" s="281">
        <v>25</v>
      </c>
      <c r="N29" s="287">
        <f t="shared" si="5"/>
        <v>388.6</v>
      </c>
      <c r="O29" s="288">
        <f t="shared" si="6"/>
        <v>1.0646575342465754</v>
      </c>
      <c r="R29" s="255">
        <v>25</v>
      </c>
      <c r="S29" s="257">
        <f t="shared" si="0"/>
        <v>390.7</v>
      </c>
      <c r="T29" s="264">
        <f t="shared" si="7"/>
        <v>1.0704109589041095</v>
      </c>
      <c r="W29" s="255">
        <v>25</v>
      </c>
      <c r="X29" s="257">
        <f t="shared" si="1"/>
        <v>392.7</v>
      </c>
      <c r="Y29" s="264">
        <f t="shared" si="8"/>
        <v>1.075890410958904</v>
      </c>
    </row>
    <row r="30" spans="1:26" x14ac:dyDescent="0.2">
      <c r="A30" s="255">
        <v>30</v>
      </c>
      <c r="B30" s="257">
        <f t="shared" si="2"/>
        <v>387.5</v>
      </c>
      <c r="C30" s="278">
        <f t="shared" si="9"/>
        <v>1.0616438356164384</v>
      </c>
      <c r="H30" s="255">
        <v>30</v>
      </c>
      <c r="I30" s="257">
        <f t="shared" si="4"/>
        <v>391</v>
      </c>
      <c r="J30" s="278">
        <f t="shared" si="10"/>
        <v>1.0712328767123287</v>
      </c>
      <c r="O30" s="303"/>
      <c r="P30" s="303"/>
      <c r="Q30" s="303"/>
    </row>
    <row r="31" spans="1:26" x14ac:dyDescent="0.2">
      <c r="A31" s="255">
        <v>35</v>
      </c>
      <c r="B31" s="257">
        <f t="shared" si="2"/>
        <v>388</v>
      </c>
      <c r="C31" s="278">
        <f t="shared" si="9"/>
        <v>1.0630136986301371</v>
      </c>
      <c r="D31" s="253"/>
      <c r="E31" s="291"/>
      <c r="F31" s="291"/>
      <c r="G31" s="291"/>
      <c r="H31" s="255">
        <v>35</v>
      </c>
      <c r="I31" s="257">
        <f t="shared" si="4"/>
        <v>391.6</v>
      </c>
      <c r="J31" s="278">
        <f t="shared" si="10"/>
        <v>1.0728767123287672</v>
      </c>
      <c r="K31" s="253"/>
      <c r="M31" s="304"/>
      <c r="N31" s="304"/>
      <c r="O31" s="304"/>
      <c r="P31" s="304"/>
      <c r="R31" s="303"/>
      <c r="S31" s="303"/>
      <c r="T31" s="303"/>
      <c r="U31" s="303"/>
      <c r="W31" s="303"/>
      <c r="X31" s="303"/>
      <c r="Y31" s="303"/>
      <c r="Z31" s="303"/>
    </row>
    <row r="34" spans="3:25" x14ac:dyDescent="0.2">
      <c r="C34" s="259"/>
      <c r="O34" s="285"/>
      <c r="T34" s="259"/>
      <c r="Y34" s="259"/>
    </row>
    <row r="35" spans="3:25" x14ac:dyDescent="0.2">
      <c r="C35" s="259"/>
      <c r="O35" s="285"/>
      <c r="T35" s="259"/>
      <c r="Y35" s="259"/>
    </row>
    <row r="36" spans="3:25" x14ac:dyDescent="0.2">
      <c r="C36" s="259"/>
      <c r="O36" s="285"/>
      <c r="T36" s="259"/>
      <c r="Y36" s="259"/>
    </row>
    <row r="37" spans="3:25" x14ac:dyDescent="0.2">
      <c r="C37" s="259"/>
      <c r="O37" s="285"/>
      <c r="T37" s="259"/>
      <c r="Y37" s="259"/>
    </row>
    <row r="38" spans="3:25" x14ac:dyDescent="0.2">
      <c r="C38" s="259"/>
      <c r="O38" s="285"/>
      <c r="T38" s="259"/>
      <c r="Y38" s="259"/>
    </row>
    <row r="39" spans="3:25" x14ac:dyDescent="0.2">
      <c r="C39" s="259"/>
      <c r="O39" s="285"/>
      <c r="T39" s="259"/>
      <c r="Y39" s="259"/>
    </row>
    <row r="40" spans="3:25" x14ac:dyDescent="0.2">
      <c r="C40" s="259"/>
      <c r="O40" s="285"/>
      <c r="T40" s="259"/>
      <c r="Y40" s="259"/>
    </row>
    <row r="41" spans="3:25" x14ac:dyDescent="0.2">
      <c r="C41" s="259"/>
      <c r="O41" s="285"/>
      <c r="T41" s="259"/>
      <c r="Y41" s="259"/>
    </row>
    <row r="42" spans="3:25" x14ac:dyDescent="0.2">
      <c r="C42" s="259"/>
      <c r="O42" s="285"/>
      <c r="T42" s="259"/>
      <c r="Y42" s="259"/>
    </row>
  </sheetData>
  <mergeCells count="14">
    <mergeCell ref="A3:D4"/>
    <mergeCell ref="M3:P3"/>
    <mergeCell ref="R3:U3"/>
    <mergeCell ref="W3:Z3"/>
    <mergeCell ref="M4:P4"/>
    <mergeCell ref="R4:U4"/>
    <mergeCell ref="W4:Z4"/>
    <mergeCell ref="H3:K3"/>
    <mergeCell ref="H4:K4"/>
    <mergeCell ref="O30:Q30"/>
    <mergeCell ref="M31:P31"/>
    <mergeCell ref="R31:U31"/>
    <mergeCell ref="W31:Z31"/>
    <mergeCell ref="O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4:T241"/>
  <sheetViews>
    <sheetView showGridLines="0" topLeftCell="A10" zoomScale="170" zoomScaleNormal="170" workbookViewId="0">
      <selection activeCell="E88" sqref="E88"/>
    </sheetView>
  </sheetViews>
  <sheetFormatPr defaultColWidth="9.109375" defaultRowHeight="10.199999999999999" x14ac:dyDescent="0.2"/>
  <cols>
    <col min="1" max="1" width="2.6640625" style="115" bestFit="1" customWidth="1"/>
    <col min="2" max="2" width="3.44140625" style="115" bestFit="1" customWidth="1"/>
    <col min="3" max="3" width="30.33203125" style="115" bestFit="1" customWidth="1"/>
    <col min="4" max="4" width="13.44140625" style="133" bestFit="1" customWidth="1"/>
    <col min="5" max="5" width="44.44140625" style="133" bestFit="1" customWidth="1"/>
    <col min="6" max="6" width="10.6640625" style="115" bestFit="1" customWidth="1"/>
    <col min="7" max="7" width="9" style="115" bestFit="1" customWidth="1"/>
    <col min="8" max="8" width="12.33203125" style="113" bestFit="1" customWidth="1"/>
    <col min="9" max="9" width="16.109375" style="114" bestFit="1" customWidth="1"/>
    <col min="10" max="10" width="10.6640625" style="113" bestFit="1" customWidth="1"/>
    <col min="11" max="11" width="12" style="113" customWidth="1"/>
    <col min="12" max="12" width="17.109375" style="113" customWidth="1"/>
    <col min="13" max="13" width="10.6640625" style="113" bestFit="1" customWidth="1"/>
    <col min="14" max="15" width="9.88671875" style="113" bestFit="1" customWidth="1"/>
    <col min="16" max="20" width="9.109375" style="113"/>
    <col min="21" max="16384" width="9.109375" style="115"/>
  </cols>
  <sheetData>
    <row r="4" spans="3:17" ht="18" customHeight="1" x14ac:dyDescent="0.2">
      <c r="C4" s="320" t="s">
        <v>140</v>
      </c>
      <c r="D4" s="321"/>
      <c r="E4" s="321"/>
      <c r="F4" s="321"/>
      <c r="G4" s="322"/>
    </row>
    <row r="5" spans="3:17" ht="15.75" customHeight="1" x14ac:dyDescent="0.2">
      <c r="C5" s="320">
        <v>2026</v>
      </c>
      <c r="D5" s="321"/>
      <c r="E5" s="321"/>
      <c r="F5" s="321"/>
      <c r="G5" s="322"/>
    </row>
    <row r="6" spans="3:17" ht="18" customHeight="1" x14ac:dyDescent="0.2">
      <c r="C6" s="116"/>
      <c r="D6" s="116"/>
      <c r="E6" s="116"/>
      <c r="F6" s="116"/>
      <c r="G6" s="116"/>
      <c r="I6" s="323"/>
    </row>
    <row r="7" spans="3:17" ht="11.25" customHeight="1" x14ac:dyDescent="0.2">
      <c r="D7" s="116"/>
      <c r="E7" s="116"/>
      <c r="F7" s="116"/>
      <c r="G7" s="116"/>
      <c r="I7" s="324"/>
    </row>
    <row r="8" spans="3:17" x14ac:dyDescent="0.2">
      <c r="C8" s="118" t="s">
        <v>0</v>
      </c>
      <c r="D8" s="119"/>
      <c r="E8" s="120"/>
      <c r="I8" s="117"/>
    </row>
    <row r="9" spans="3:17" x14ac:dyDescent="0.2">
      <c r="C9" s="121" t="s">
        <v>1</v>
      </c>
      <c r="D9" s="122">
        <v>7</v>
      </c>
      <c r="E9" s="123"/>
      <c r="I9" s="117"/>
    </row>
    <row r="10" spans="3:17" x14ac:dyDescent="0.2">
      <c r="C10" s="121" t="s">
        <v>2</v>
      </c>
      <c r="D10" s="122">
        <v>7</v>
      </c>
      <c r="E10" s="123"/>
      <c r="I10" s="117"/>
    </row>
    <row r="11" spans="3:17" ht="13.2" x14ac:dyDescent="0.25">
      <c r="C11" s="121" t="s">
        <v>3</v>
      </c>
      <c r="D11" s="122">
        <v>0</v>
      </c>
      <c r="E11" s="123"/>
      <c r="G11"/>
      <c r="H11"/>
      <c r="I11"/>
      <c r="J11"/>
      <c r="K11"/>
      <c r="L11"/>
      <c r="M11"/>
      <c r="N11"/>
      <c r="O11"/>
      <c r="P11"/>
      <c r="Q11"/>
    </row>
    <row r="12" spans="3:17" ht="12.75" customHeight="1" x14ac:dyDescent="0.25">
      <c r="C12" s="124"/>
      <c r="D12" s="125"/>
      <c r="E12" s="120"/>
      <c r="G12"/>
      <c r="H12"/>
      <c r="I12"/>
      <c r="J12"/>
      <c r="K12"/>
      <c r="L12"/>
      <c r="M12"/>
      <c r="N12"/>
      <c r="O12"/>
      <c r="P12"/>
      <c r="Q12"/>
    </row>
    <row r="13" spans="3:17" ht="13.2" x14ac:dyDescent="0.25">
      <c r="C13" s="126" t="s">
        <v>4</v>
      </c>
      <c r="D13" s="127"/>
      <c r="E13" s="120"/>
      <c r="G13" s="39"/>
      <c r="H13"/>
      <c r="I13" s="276"/>
      <c r="J13"/>
      <c r="K13"/>
      <c r="L13"/>
      <c r="M13"/>
      <c r="N13"/>
      <c r="O13"/>
      <c r="P13">
        <v>1978</v>
      </c>
      <c r="Q13">
        <v>100</v>
      </c>
    </row>
    <row r="14" spans="3:17" ht="13.2" x14ac:dyDescent="0.25">
      <c r="C14" s="121" t="s">
        <v>5</v>
      </c>
      <c r="D14" s="128">
        <v>419.88</v>
      </c>
      <c r="E14" s="120">
        <v>374.89</v>
      </c>
      <c r="G14"/>
      <c r="H14"/>
      <c r="I14"/>
      <c r="J14"/>
      <c r="K14"/>
      <c r="L14"/>
      <c r="M14"/>
      <c r="N14"/>
      <c r="O14"/>
      <c r="P14">
        <v>2324.2399999999998</v>
      </c>
      <c r="Q14">
        <f>+P14*Q13/P13</f>
        <v>117.50455005055611</v>
      </c>
    </row>
    <row r="15" spans="3:17" ht="13.2" x14ac:dyDescent="0.25">
      <c r="C15" s="121" t="s">
        <v>6</v>
      </c>
      <c r="D15" s="128">
        <v>315.04000000000002</v>
      </c>
      <c r="E15" s="120"/>
      <c r="G15"/>
      <c r="H15"/>
      <c r="I15"/>
      <c r="J15"/>
      <c r="K15"/>
      <c r="L15"/>
      <c r="M15"/>
      <c r="N15"/>
      <c r="O15"/>
      <c r="P15"/>
      <c r="Q15">
        <f>+Q13-Q14</f>
        <v>-17.504550050556105</v>
      </c>
    </row>
    <row r="16" spans="3:17" ht="13.2" x14ac:dyDescent="0.25">
      <c r="C16" s="121" t="s">
        <v>193</v>
      </c>
      <c r="D16" s="130">
        <f>+'IMSS Calculo'!E2</f>
        <v>117.31</v>
      </c>
      <c r="E16" s="120" t="s">
        <v>246</v>
      </c>
      <c r="G16"/>
      <c r="H16"/>
      <c r="I16"/>
      <c r="J16"/>
      <c r="K16"/>
      <c r="L16"/>
      <c r="M16"/>
      <c r="N16"/>
      <c r="O16"/>
      <c r="P16"/>
      <c r="Q16"/>
    </row>
    <row r="17" spans="3:17" ht="13.2" x14ac:dyDescent="0.25">
      <c r="C17" s="124"/>
      <c r="D17" s="131"/>
      <c r="E17" s="120" t="s">
        <v>247</v>
      </c>
      <c r="G17"/>
      <c r="H17"/>
      <c r="I17"/>
      <c r="J17"/>
      <c r="K17"/>
      <c r="L17"/>
      <c r="M17"/>
      <c r="N17"/>
      <c r="O17"/>
      <c r="P17"/>
      <c r="Q17"/>
    </row>
    <row r="18" spans="3:17" x14ac:dyDescent="0.2">
      <c r="C18" s="132" t="s">
        <v>7</v>
      </c>
      <c r="E18" s="120"/>
      <c r="I18" s="134"/>
    </row>
    <row r="19" spans="3:17" x14ac:dyDescent="0.2">
      <c r="C19" s="121" t="s">
        <v>8</v>
      </c>
      <c r="D19" s="135">
        <v>1800</v>
      </c>
      <c r="E19" s="123"/>
      <c r="I19" s="134"/>
    </row>
    <row r="20" spans="3:17" x14ac:dyDescent="0.2">
      <c r="C20" s="121"/>
      <c r="D20" s="130">
        <f>+J39</f>
        <v>1888.7671232876712</v>
      </c>
      <c r="E20" s="123"/>
      <c r="I20" s="136"/>
    </row>
    <row r="21" spans="3:17" x14ac:dyDescent="0.2">
      <c r="C21" s="121" t="s">
        <v>10</v>
      </c>
      <c r="D21" s="122">
        <v>0</v>
      </c>
      <c r="E21" s="123"/>
      <c r="I21" s="137"/>
    </row>
    <row r="22" spans="3:17" x14ac:dyDescent="0.2">
      <c r="C22" s="121" t="s">
        <v>11</v>
      </c>
      <c r="D22" s="138" t="s">
        <v>12</v>
      </c>
      <c r="E22" s="123"/>
      <c r="I22" s="137"/>
    </row>
    <row r="23" spans="3:17" x14ac:dyDescent="0.2">
      <c r="C23" s="121" t="s">
        <v>14</v>
      </c>
      <c r="D23" s="122">
        <v>0</v>
      </c>
      <c r="E23" s="123"/>
      <c r="I23" s="137"/>
    </row>
    <row r="24" spans="3:17" x14ac:dyDescent="0.2">
      <c r="C24" s="121" t="s">
        <v>15</v>
      </c>
      <c r="D24" s="122">
        <v>61</v>
      </c>
      <c r="E24" s="123"/>
      <c r="I24" s="134"/>
    </row>
    <row r="25" spans="3:17" x14ac:dyDescent="0.2">
      <c r="C25" s="124"/>
      <c r="D25" s="139"/>
      <c r="E25" s="123"/>
      <c r="I25" s="134"/>
    </row>
    <row r="26" spans="3:17" x14ac:dyDescent="0.2">
      <c r="C26" s="132" t="s">
        <v>123</v>
      </c>
      <c r="D26" s="139"/>
      <c r="E26" s="123"/>
      <c r="I26" s="134"/>
    </row>
    <row r="27" spans="3:17" x14ac:dyDescent="0.2">
      <c r="C27" s="121" t="s">
        <v>116</v>
      </c>
      <c r="D27" s="122">
        <v>1</v>
      </c>
      <c r="E27" s="123"/>
      <c r="I27" s="134"/>
    </row>
    <row r="28" spans="3:17" x14ac:dyDescent="0.2">
      <c r="C28" s="121" t="s">
        <v>112</v>
      </c>
      <c r="D28" s="130">
        <v>0</v>
      </c>
      <c r="E28" s="123"/>
      <c r="I28" s="134"/>
    </row>
    <row r="29" spans="3:17" x14ac:dyDescent="0.2">
      <c r="C29" s="121" t="s">
        <v>113</v>
      </c>
      <c r="D29" s="130">
        <v>0</v>
      </c>
      <c r="E29" s="123"/>
      <c r="I29" s="140"/>
    </row>
    <row r="30" spans="3:17" x14ac:dyDescent="0.2">
      <c r="C30" s="121" t="s">
        <v>114</v>
      </c>
      <c r="D30" s="130">
        <v>0</v>
      </c>
      <c r="E30" s="123"/>
      <c r="I30" s="134"/>
    </row>
    <row r="31" spans="3:17" x14ac:dyDescent="0.2">
      <c r="C31" s="121" t="s">
        <v>115</v>
      </c>
      <c r="D31" s="130">
        <v>0</v>
      </c>
      <c r="E31" s="123"/>
      <c r="I31" s="134"/>
    </row>
    <row r="32" spans="3:17" x14ac:dyDescent="0.2">
      <c r="E32" s="120"/>
    </row>
    <row r="34" spans="2:20" s="144" customFormat="1" x14ac:dyDescent="0.2">
      <c r="B34" s="141" t="s">
        <v>16</v>
      </c>
      <c r="C34" s="141" t="s">
        <v>17</v>
      </c>
      <c r="D34" s="142" t="s">
        <v>18</v>
      </c>
      <c r="E34" s="142" t="s">
        <v>19</v>
      </c>
      <c r="F34" s="143"/>
      <c r="H34" s="145"/>
      <c r="I34" s="146"/>
      <c r="J34" s="147"/>
      <c r="K34" s="148"/>
      <c r="L34" s="145"/>
      <c r="M34" s="145"/>
      <c r="N34" s="145"/>
      <c r="O34" s="145"/>
      <c r="P34" s="145"/>
      <c r="Q34" s="145"/>
      <c r="R34" s="145"/>
      <c r="S34" s="145"/>
      <c r="T34" s="145"/>
    </row>
    <row r="35" spans="2:20" x14ac:dyDescent="0.2">
      <c r="B35" s="132">
        <v>1</v>
      </c>
      <c r="C35" s="149" t="s">
        <v>20</v>
      </c>
      <c r="D35" s="130">
        <f>+D19*6</f>
        <v>10800</v>
      </c>
      <c r="E35" s="150"/>
      <c r="F35" s="151"/>
      <c r="I35" s="147"/>
      <c r="K35" s="152"/>
    </row>
    <row r="36" spans="2:20" x14ac:dyDescent="0.2">
      <c r="B36" s="132">
        <v>2</v>
      </c>
      <c r="C36" s="149" t="s">
        <v>21</v>
      </c>
      <c r="D36" s="130">
        <f>+D19</f>
        <v>1800</v>
      </c>
      <c r="E36" s="150"/>
      <c r="F36" s="151"/>
      <c r="I36" s="316" t="s">
        <v>149</v>
      </c>
      <c r="J36" s="316"/>
      <c r="K36" s="152"/>
    </row>
    <row r="37" spans="2:20" x14ac:dyDescent="0.2">
      <c r="B37" s="132">
        <v>3</v>
      </c>
      <c r="C37" s="149" t="s">
        <v>22</v>
      </c>
      <c r="D37" s="130">
        <v>0</v>
      </c>
      <c r="E37" s="150">
        <f>MIN(( D37+D39+D40)/2, 5*$D$16)</f>
        <v>0</v>
      </c>
      <c r="F37" s="151"/>
      <c r="I37" s="153" t="s">
        <v>8</v>
      </c>
      <c r="J37" s="154">
        <f>+D19</f>
        <v>1800</v>
      </c>
      <c r="K37" s="152"/>
    </row>
    <row r="38" spans="2:20" x14ac:dyDescent="0.2">
      <c r="B38" s="132">
        <v>4</v>
      </c>
      <c r="C38" s="149" t="s">
        <v>23</v>
      </c>
      <c r="D38" s="130">
        <v>0</v>
      </c>
      <c r="E38" s="150"/>
      <c r="F38" s="151"/>
      <c r="I38" s="153" t="s">
        <v>150</v>
      </c>
      <c r="J38" s="155">
        <f>+Tablas!C21</f>
        <v>1.0493150684931507</v>
      </c>
      <c r="K38" s="152"/>
    </row>
    <row r="39" spans="2:20" x14ac:dyDescent="0.2">
      <c r="B39" s="132">
        <v>5</v>
      </c>
      <c r="C39" s="149" t="s">
        <v>24</v>
      </c>
      <c r="D39" s="130">
        <v>0</v>
      </c>
      <c r="E39" s="150"/>
      <c r="F39" s="151"/>
      <c r="I39" s="153" t="s">
        <v>149</v>
      </c>
      <c r="J39" s="154">
        <f>+J37*J38</f>
        <v>1888.7671232876712</v>
      </c>
      <c r="K39" s="156"/>
      <c r="L39" s="273"/>
    </row>
    <row r="40" spans="2:20" x14ac:dyDescent="0.2">
      <c r="B40" s="132">
        <v>6</v>
      </c>
      <c r="C40" s="149" t="s">
        <v>25</v>
      </c>
      <c r="D40" s="130">
        <v>0</v>
      </c>
      <c r="E40" s="150">
        <v>0</v>
      </c>
      <c r="F40" s="151"/>
      <c r="I40" s="113"/>
      <c r="J40" s="157"/>
    </row>
    <row r="41" spans="2:20" x14ac:dyDescent="0.2">
      <c r="B41" s="132">
        <v>7</v>
      </c>
      <c r="C41" s="149" t="s">
        <v>26</v>
      </c>
      <c r="D41" s="130">
        <v>0</v>
      </c>
      <c r="E41" s="150">
        <f>+D41</f>
        <v>0</v>
      </c>
      <c r="F41" s="151"/>
      <c r="I41" s="153" t="s">
        <v>151</v>
      </c>
      <c r="J41" s="158">
        <v>0</v>
      </c>
    </row>
    <row r="42" spans="2:20" x14ac:dyDescent="0.2">
      <c r="B42" s="132">
        <v>11</v>
      </c>
      <c r="C42" s="149" t="s">
        <v>27</v>
      </c>
      <c r="D42" s="130">
        <v>0</v>
      </c>
      <c r="E42" s="150"/>
      <c r="F42" s="151"/>
      <c r="I42" s="113"/>
      <c r="J42" s="159"/>
    </row>
    <row r="43" spans="2:20" x14ac:dyDescent="0.2">
      <c r="B43" s="132">
        <v>21</v>
      </c>
      <c r="C43" s="149" t="s">
        <v>28</v>
      </c>
      <c r="D43" s="130">
        <v>0</v>
      </c>
      <c r="E43" s="150"/>
      <c r="F43" s="151"/>
      <c r="I43" s="153" t="s">
        <v>152</v>
      </c>
      <c r="J43" s="160">
        <f>+J39+J41</f>
        <v>1888.7671232876712</v>
      </c>
    </row>
    <row r="44" spans="2:20" x14ac:dyDescent="0.2">
      <c r="B44" s="132">
        <v>22</v>
      </c>
      <c r="C44" s="149" t="s">
        <v>29</v>
      </c>
      <c r="D44" s="130">
        <f>+D43*0.35</f>
        <v>0</v>
      </c>
      <c r="E44" s="150">
        <f>MIN(D44*1, 15*$D$16)</f>
        <v>0</v>
      </c>
      <c r="F44" s="151"/>
      <c r="J44" s="113" t="s">
        <v>139</v>
      </c>
    </row>
    <row r="45" spans="2:20" x14ac:dyDescent="0.2">
      <c r="B45" s="132">
        <v>23</v>
      </c>
      <c r="C45" s="149" t="s">
        <v>30</v>
      </c>
      <c r="D45" s="130">
        <v>0</v>
      </c>
      <c r="E45" s="150">
        <f>MIN(D45*1,30*$D$16)</f>
        <v>0</v>
      </c>
      <c r="F45" s="151"/>
    </row>
    <row r="46" spans="2:20" x14ac:dyDescent="0.2">
      <c r="B46" s="132">
        <v>24</v>
      </c>
      <c r="C46" s="149" t="s">
        <v>31</v>
      </c>
      <c r="D46" s="130">
        <v>0</v>
      </c>
      <c r="E46" s="150"/>
      <c r="F46" s="151"/>
    </row>
    <row r="47" spans="2:20" x14ac:dyDescent="0.2">
      <c r="B47" s="132">
        <v>31</v>
      </c>
      <c r="C47" s="149" t="s">
        <v>32</v>
      </c>
      <c r="D47" s="130">
        <f>+(D35+D36)*0.1</f>
        <v>1260</v>
      </c>
      <c r="E47" s="150"/>
      <c r="F47" s="151"/>
      <c r="I47" s="161"/>
      <c r="J47" s="162"/>
    </row>
    <row r="48" spans="2:20" x14ac:dyDescent="0.2">
      <c r="B48" s="132">
        <v>32</v>
      </c>
      <c r="C48" s="149" t="s">
        <v>33</v>
      </c>
      <c r="D48" s="130">
        <f>+D47</f>
        <v>1260</v>
      </c>
      <c r="E48" s="150"/>
      <c r="F48" s="151"/>
      <c r="I48" s="325"/>
      <c r="J48" s="325"/>
    </row>
    <row r="49" spans="1:10" x14ac:dyDescent="0.2">
      <c r="A49" s="115">
        <v>90</v>
      </c>
      <c r="B49" s="132">
        <v>34</v>
      </c>
      <c r="C49" s="149" t="s">
        <v>34</v>
      </c>
      <c r="D49" s="130">
        <v>0</v>
      </c>
      <c r="E49" s="150"/>
      <c r="F49" s="151"/>
      <c r="I49" s="163"/>
      <c r="J49" s="162"/>
    </row>
    <row r="50" spans="1:10" x14ac:dyDescent="0.2">
      <c r="B50" s="132">
        <v>39</v>
      </c>
      <c r="C50" s="149" t="s">
        <v>35</v>
      </c>
      <c r="D50" s="130">
        <v>0</v>
      </c>
      <c r="E50" s="150"/>
      <c r="F50" s="151"/>
      <c r="I50" s="163"/>
      <c r="J50" s="164"/>
    </row>
    <row r="51" spans="1:10" x14ac:dyDescent="0.2">
      <c r="B51" s="132"/>
      <c r="C51" s="149" t="s">
        <v>187</v>
      </c>
      <c r="D51" s="130">
        <v>0</v>
      </c>
      <c r="E51" s="150">
        <v>0</v>
      </c>
      <c r="F51" s="151"/>
      <c r="I51" s="163"/>
      <c r="J51" s="164"/>
    </row>
    <row r="52" spans="1:10" x14ac:dyDescent="0.2">
      <c r="B52" s="132">
        <v>91</v>
      </c>
      <c r="C52" s="149" t="s">
        <v>36</v>
      </c>
      <c r="D52" s="130">
        <v>0</v>
      </c>
      <c r="E52" s="150"/>
      <c r="F52" s="151"/>
      <c r="I52" s="163"/>
      <c r="J52" s="162"/>
    </row>
    <row r="53" spans="1:10" x14ac:dyDescent="0.2">
      <c r="B53" s="132">
        <v>92</v>
      </c>
      <c r="C53" s="149" t="s">
        <v>37</v>
      </c>
      <c r="D53" s="130">
        <v>0</v>
      </c>
      <c r="E53" s="150"/>
      <c r="F53" s="151"/>
      <c r="I53" s="165"/>
      <c r="J53" s="162"/>
    </row>
    <row r="54" spans="1:10" x14ac:dyDescent="0.2">
      <c r="B54" s="132">
        <v>93</v>
      </c>
      <c r="C54" s="149" t="s">
        <v>38</v>
      </c>
      <c r="D54" s="130">
        <v>0</v>
      </c>
      <c r="E54" s="150">
        <f>MIN($D$72*1, 90*$D$14*ROUND($D$21,0))</f>
        <v>0</v>
      </c>
      <c r="F54" s="151"/>
    </row>
    <row r="55" spans="1:10" x14ac:dyDescent="0.2">
      <c r="C55" s="166" t="s">
        <v>39</v>
      </c>
      <c r="D55" s="167">
        <f>SUM(D35:D54)</f>
        <v>15120</v>
      </c>
      <c r="E55" s="168">
        <f>SUM(E35:E54)</f>
        <v>0</v>
      </c>
      <c r="F55" s="151"/>
      <c r="I55" s="169" t="s">
        <v>192</v>
      </c>
      <c r="J55" s="153">
        <v>30.4</v>
      </c>
    </row>
    <row r="56" spans="1:10" ht="10.8" thickBot="1" x14ac:dyDescent="0.25">
      <c r="F56" s="151"/>
    </row>
    <row r="57" spans="1:10" x14ac:dyDescent="0.2">
      <c r="B57" s="170"/>
      <c r="C57" s="171" t="s">
        <v>40</v>
      </c>
      <c r="D57" s="172"/>
      <c r="F57" s="151"/>
      <c r="I57" s="173" t="s">
        <v>169</v>
      </c>
      <c r="J57" s="174">
        <f>+I79</f>
        <v>1211.3510289041096</v>
      </c>
    </row>
    <row r="58" spans="1:10" x14ac:dyDescent="0.2">
      <c r="B58" s="132">
        <v>101</v>
      </c>
      <c r="C58" s="149" t="s">
        <v>41</v>
      </c>
      <c r="D58" s="150">
        <f>MAX( G73-H73, 0 ) + G71 +G72</f>
        <v>3093.65</v>
      </c>
      <c r="E58" s="151" t="s">
        <v>42</v>
      </c>
      <c r="I58" s="175"/>
      <c r="J58" s="176"/>
    </row>
    <row r="59" spans="1:10" x14ac:dyDescent="0.2">
      <c r="B59" s="132">
        <v>103</v>
      </c>
      <c r="C59" s="149" t="s">
        <v>43</v>
      </c>
      <c r="D59" s="150">
        <f>MIN(G73-H73,0)</f>
        <v>0</v>
      </c>
      <c r="E59" s="151" t="s">
        <v>44</v>
      </c>
      <c r="I59" s="175" t="s">
        <v>170</v>
      </c>
      <c r="J59" s="177">
        <f>+I81</f>
        <v>661.06849315068496</v>
      </c>
    </row>
    <row r="60" spans="1:10" x14ac:dyDescent="0.2">
      <c r="B60" s="132">
        <v>134</v>
      </c>
      <c r="C60" s="149" t="s">
        <v>45</v>
      </c>
      <c r="D60" s="178">
        <v>0</v>
      </c>
      <c r="I60" s="175"/>
      <c r="J60" s="176"/>
    </row>
    <row r="61" spans="1:10" x14ac:dyDescent="0.2">
      <c r="B61" s="132">
        <v>135</v>
      </c>
      <c r="C61" s="149" t="s">
        <v>141</v>
      </c>
      <c r="D61" s="178">
        <f>+'IMSS Calculo'!D54</f>
        <v>357.03897369863012</v>
      </c>
      <c r="I61" s="175" t="s">
        <v>171</v>
      </c>
      <c r="J61" s="179">
        <f>+I83</f>
        <v>1257.7489150684933</v>
      </c>
    </row>
    <row r="62" spans="1:10" x14ac:dyDescent="0.2">
      <c r="C62" s="180" t="s">
        <v>143</v>
      </c>
      <c r="D62" s="167">
        <f>SUM(D58:D61)</f>
        <v>3450.6889736986304</v>
      </c>
      <c r="F62" s="181"/>
      <c r="I62" s="175"/>
      <c r="J62" s="176"/>
    </row>
    <row r="63" spans="1:10" x14ac:dyDescent="0.2">
      <c r="H63" s="182"/>
      <c r="I63" s="175" t="s">
        <v>172</v>
      </c>
      <c r="J63" s="177">
        <f>+D236</f>
        <v>692.49599999999998</v>
      </c>
    </row>
    <row r="64" spans="1:10" ht="10.8" thickBot="1" x14ac:dyDescent="0.25">
      <c r="C64" s="115" t="s">
        <v>194</v>
      </c>
      <c r="D64" s="183">
        <v>200</v>
      </c>
      <c r="F64" s="181"/>
      <c r="H64" s="182"/>
      <c r="I64" s="184"/>
      <c r="J64" s="185"/>
    </row>
    <row r="65" spans="3:20" x14ac:dyDescent="0.2">
      <c r="F65" s="181"/>
      <c r="H65" s="182"/>
    </row>
    <row r="66" spans="3:20" x14ac:dyDescent="0.2">
      <c r="J66" s="182">
        <f>SUM(J57:J64)</f>
        <v>3822.6644371232878</v>
      </c>
    </row>
    <row r="67" spans="3:20" x14ac:dyDescent="0.2">
      <c r="C67" s="186" t="s">
        <v>142</v>
      </c>
      <c r="D67" s="186">
        <f>+D55-D62+D64</f>
        <v>11869.31102630137</v>
      </c>
      <c r="F67" s="181"/>
    </row>
    <row r="70" spans="3:20" s="144" customFormat="1" x14ac:dyDescent="0.2">
      <c r="C70" s="187"/>
      <c r="D70" s="188" t="s">
        <v>46</v>
      </c>
      <c r="E70" s="188" t="s">
        <v>19</v>
      </c>
      <c r="F70" s="187" t="s">
        <v>47</v>
      </c>
      <c r="G70" s="187" t="s">
        <v>48</v>
      </c>
      <c r="H70" s="189" t="s">
        <v>49</v>
      </c>
      <c r="I70" s="129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</row>
    <row r="71" spans="3:20" x14ac:dyDescent="0.2">
      <c r="C71" s="121" t="s">
        <v>50</v>
      </c>
      <c r="D71" s="150">
        <f>D43+D44+D45+D46</f>
        <v>0</v>
      </c>
      <c r="E71" s="150">
        <f>E41+E44+E45+E46</f>
        <v>0</v>
      </c>
      <c r="F71" s="190">
        <f>D71-E71</f>
        <v>0</v>
      </c>
      <c r="G71" s="191">
        <f>D137</f>
        <v>0</v>
      </c>
      <c r="H71" s="192"/>
    </row>
    <row r="72" spans="3:20" x14ac:dyDescent="0.2">
      <c r="C72" s="121" t="s">
        <v>51</v>
      </c>
      <c r="D72" s="150">
        <f>D52+D53+D54</f>
        <v>0</v>
      </c>
      <c r="E72" s="150">
        <f>E54</f>
        <v>0</v>
      </c>
      <c r="F72" s="190">
        <f>D72-E72</f>
        <v>0</v>
      </c>
      <c r="G72" s="193">
        <f>D168</f>
        <v>0</v>
      </c>
      <c r="H72" s="192"/>
    </row>
    <row r="73" spans="3:20" x14ac:dyDescent="0.2">
      <c r="C73" s="121" t="s">
        <v>52</v>
      </c>
      <c r="D73" s="150">
        <f>D55-D71-D72</f>
        <v>15120</v>
      </c>
      <c r="E73" s="150">
        <f>E55-E71-E72</f>
        <v>0</v>
      </c>
      <c r="F73" s="190">
        <f>D73-E73</f>
        <v>15120</v>
      </c>
      <c r="G73" s="194">
        <f>D95</f>
        <v>3093.65</v>
      </c>
      <c r="H73" s="195">
        <f>+D106</f>
        <v>0</v>
      </c>
    </row>
    <row r="74" spans="3:20" x14ac:dyDescent="0.2">
      <c r="C74" s="121" t="s">
        <v>119</v>
      </c>
      <c r="D74" s="150">
        <f>D28</f>
        <v>0</v>
      </c>
      <c r="E74" s="150">
        <f>D29</f>
        <v>0</v>
      </c>
      <c r="F74" s="190">
        <f>D74-E74</f>
        <v>0</v>
      </c>
      <c r="G74" s="190"/>
      <c r="H74" s="153"/>
    </row>
    <row r="75" spans="3:20" x14ac:dyDescent="0.2">
      <c r="C75" s="121" t="s">
        <v>120</v>
      </c>
      <c r="D75" s="150">
        <f>D73+D74</f>
        <v>15120</v>
      </c>
      <c r="E75" s="150">
        <f>+E71</f>
        <v>0</v>
      </c>
      <c r="F75" s="190">
        <f>D75-E75</f>
        <v>15120</v>
      </c>
      <c r="G75" s="149"/>
      <c r="H75" s="153"/>
    </row>
    <row r="76" spans="3:20" x14ac:dyDescent="0.2">
      <c r="J76" s="113" t="s">
        <v>139</v>
      </c>
    </row>
    <row r="77" spans="3:20" ht="10.8" thickBot="1" x14ac:dyDescent="0.25"/>
    <row r="78" spans="3:20" ht="10.8" thickBot="1" x14ac:dyDescent="0.25">
      <c r="C78" s="196" t="s">
        <v>53</v>
      </c>
      <c r="D78" s="197"/>
      <c r="E78" s="198"/>
      <c r="H78" s="317" t="s">
        <v>168</v>
      </c>
      <c r="I78" s="318"/>
      <c r="J78" s="319"/>
      <c r="K78" s="159"/>
    </row>
    <row r="79" spans="3:20" x14ac:dyDescent="0.2">
      <c r="C79" s="199" t="s">
        <v>54</v>
      </c>
      <c r="D79" s="200">
        <f>+D55-E55</f>
        <v>15120</v>
      </c>
      <c r="E79" s="201"/>
      <c r="H79" s="173" t="s">
        <v>169</v>
      </c>
      <c r="I79" s="202">
        <f>+'IMSS Calculo'!E54</f>
        <v>1211.3510289041096</v>
      </c>
      <c r="J79" s="203"/>
      <c r="K79" s="159"/>
    </row>
    <row r="80" spans="3:20" x14ac:dyDescent="0.2">
      <c r="C80" s="204" t="s">
        <v>55</v>
      </c>
      <c r="D80" s="205">
        <f>$D$9*$D$27</f>
        <v>7</v>
      </c>
      <c r="E80" s="206"/>
      <c r="H80" s="175"/>
      <c r="J80" s="207"/>
      <c r="K80" s="159"/>
    </row>
    <row r="81" spans="3:11" x14ac:dyDescent="0.2">
      <c r="C81" s="204" t="s">
        <v>56</v>
      </c>
      <c r="D81" s="205">
        <f>$J$55</f>
        <v>30.4</v>
      </c>
      <c r="E81" s="206"/>
      <c r="H81" s="175" t="s">
        <v>170</v>
      </c>
      <c r="I81" s="208">
        <f>+D231</f>
        <v>661.06849315068496</v>
      </c>
      <c r="J81" s="209"/>
      <c r="K81" s="159"/>
    </row>
    <row r="82" spans="3:11" x14ac:dyDescent="0.2">
      <c r="C82" s="204" t="s">
        <v>57</v>
      </c>
      <c r="D82" s="120">
        <f>ROUND(D79/D80*D81,2)</f>
        <v>65664</v>
      </c>
      <c r="E82" s="206"/>
      <c r="H82" s="175"/>
      <c r="I82" s="129"/>
      <c r="J82" s="210"/>
      <c r="K82" s="211"/>
    </row>
    <row r="83" spans="3:11" x14ac:dyDescent="0.2">
      <c r="C83" s="204" t="s">
        <v>58</v>
      </c>
      <c r="D83" s="120"/>
      <c r="E83" s="206"/>
      <c r="H83" s="175" t="s">
        <v>171</v>
      </c>
      <c r="I83" s="212">
        <f>+'IMSS Calculo'!E56</f>
        <v>1257.7489150684933</v>
      </c>
      <c r="J83" s="210"/>
      <c r="K83" s="159"/>
    </row>
    <row r="84" spans="3:11" x14ac:dyDescent="0.2">
      <c r="C84" s="204" t="s">
        <v>59</v>
      </c>
      <c r="D84" s="120">
        <f>VLOOKUP($D$82,$D$174:$G$184,1)</f>
        <v>55736.69</v>
      </c>
      <c r="E84" s="206"/>
      <c r="H84" s="175"/>
      <c r="I84" s="129"/>
      <c r="J84" s="210"/>
      <c r="K84" s="159"/>
    </row>
    <row r="85" spans="3:11" x14ac:dyDescent="0.2">
      <c r="C85" s="204" t="s">
        <v>60</v>
      </c>
      <c r="D85" s="120">
        <f>D82-D84</f>
        <v>9927.3099999999977</v>
      </c>
      <c r="E85" s="206"/>
      <c r="H85" s="175" t="s">
        <v>172</v>
      </c>
      <c r="I85" s="208">
        <f>+D236</f>
        <v>692.49599999999998</v>
      </c>
      <c r="J85" s="213"/>
      <c r="K85" s="159"/>
    </row>
    <row r="86" spans="3:11" ht="10.8" thickBot="1" x14ac:dyDescent="0.25">
      <c r="C86" s="204" t="s">
        <v>61</v>
      </c>
      <c r="D86" s="214">
        <f>VLOOKUP($D$82,$D$174:$G$184,4)</f>
        <v>0.3</v>
      </c>
      <c r="E86" s="206"/>
      <c r="H86" s="184"/>
      <c r="I86" s="215"/>
      <c r="J86" s="216"/>
      <c r="K86" s="159"/>
    </row>
    <row r="87" spans="3:11" x14ac:dyDescent="0.2">
      <c r="C87" s="204" t="s">
        <v>62</v>
      </c>
      <c r="D87" s="120">
        <f>D85*D86</f>
        <v>2978.1929999999993</v>
      </c>
      <c r="E87" s="206"/>
      <c r="I87" s="217">
        <f>SUM(I79:I85)</f>
        <v>3822.6644371232878</v>
      </c>
      <c r="J87" s="218"/>
      <c r="K87" s="159"/>
    </row>
    <row r="88" spans="3:11" x14ac:dyDescent="0.2">
      <c r="C88" s="204" t="s">
        <v>63</v>
      </c>
      <c r="D88" s="120">
        <f>VLOOKUP($D$82,$D$174:$G$184,3)</f>
        <v>10457.09</v>
      </c>
      <c r="E88" s="206"/>
      <c r="J88" s="219"/>
      <c r="K88" s="159"/>
    </row>
    <row r="89" spans="3:11" x14ac:dyDescent="0.2">
      <c r="C89" s="204" t="s">
        <v>64</v>
      </c>
      <c r="D89" s="120">
        <f>D87+D88</f>
        <v>13435.282999999999</v>
      </c>
      <c r="E89" s="206"/>
      <c r="J89" s="219"/>
      <c r="K89" s="159"/>
    </row>
    <row r="90" spans="3:11" x14ac:dyDescent="0.2">
      <c r="C90" s="204"/>
      <c r="D90" s="120"/>
      <c r="E90" s="206"/>
      <c r="I90" s="217"/>
      <c r="J90" s="220"/>
      <c r="K90" s="159"/>
    </row>
    <row r="91" spans="3:11" x14ac:dyDescent="0.2">
      <c r="C91" s="204" t="s">
        <v>65</v>
      </c>
      <c r="D91" s="205">
        <f>$J$55</f>
        <v>30.4</v>
      </c>
      <c r="E91" s="206"/>
      <c r="J91" s="221"/>
      <c r="K91" s="159"/>
    </row>
    <row r="92" spans="3:11" x14ac:dyDescent="0.2">
      <c r="C92" s="204" t="s">
        <v>66</v>
      </c>
      <c r="D92" s="205">
        <f>$D$9*$D$27</f>
        <v>7</v>
      </c>
      <c r="E92" s="206"/>
      <c r="J92" s="219"/>
      <c r="K92" s="159"/>
    </row>
    <row r="93" spans="3:11" x14ac:dyDescent="0.2">
      <c r="C93" s="204" t="s">
        <v>67</v>
      </c>
      <c r="D93" s="131">
        <f>ROUND(D89/D91*D92,2)</f>
        <v>3093.65</v>
      </c>
      <c r="E93" s="206"/>
      <c r="J93" s="219"/>
      <c r="K93" s="159"/>
    </row>
    <row r="94" spans="3:11" x14ac:dyDescent="0.2">
      <c r="C94" s="204" t="s">
        <v>117</v>
      </c>
      <c r="D94" s="131">
        <f>D30</f>
        <v>0</v>
      </c>
      <c r="E94" s="206"/>
      <c r="K94" s="159"/>
    </row>
    <row r="95" spans="3:11" x14ac:dyDescent="0.2">
      <c r="C95" s="204" t="s">
        <v>118</v>
      </c>
      <c r="D95" s="222">
        <f>D93-D94</f>
        <v>3093.65</v>
      </c>
      <c r="E95" s="206"/>
      <c r="I95" s="223"/>
      <c r="J95" s="224"/>
      <c r="K95" s="159"/>
    </row>
    <row r="96" spans="3:11" x14ac:dyDescent="0.2">
      <c r="C96" s="204"/>
      <c r="D96" s="120"/>
      <c r="E96" s="206"/>
      <c r="I96" s="225"/>
      <c r="J96" s="226"/>
      <c r="K96" s="159"/>
    </row>
    <row r="97" spans="3:11" x14ac:dyDescent="0.2">
      <c r="C97" s="227" t="s">
        <v>43</v>
      </c>
      <c r="D97" s="120"/>
      <c r="E97" s="206"/>
      <c r="J97" s="219"/>
      <c r="K97" s="159"/>
    </row>
    <row r="98" spans="3:11" x14ac:dyDescent="0.2">
      <c r="C98" s="204" t="s">
        <v>68</v>
      </c>
      <c r="D98" s="120">
        <f>D82</f>
        <v>65664</v>
      </c>
      <c r="E98" s="206"/>
      <c r="K98" s="159"/>
    </row>
    <row r="99" spans="3:11" x14ac:dyDescent="0.2">
      <c r="C99" s="228"/>
      <c r="D99" s="120"/>
      <c r="E99" s="206"/>
      <c r="J99" s="218"/>
      <c r="K99" s="159"/>
    </row>
    <row r="100" spans="3:11" x14ac:dyDescent="0.2">
      <c r="C100" s="204" t="s">
        <v>69</v>
      </c>
      <c r="D100" s="120">
        <f>IF( D98 &lt;= 0, 0, VLOOKUP(D98,$D$188:$F$198,3))</f>
        <v>0</v>
      </c>
      <c r="E100" s="206"/>
      <c r="K100" s="159"/>
    </row>
    <row r="101" spans="3:11" x14ac:dyDescent="0.2">
      <c r="C101" s="204"/>
      <c r="D101" s="120"/>
      <c r="E101" s="206"/>
      <c r="J101" s="218"/>
      <c r="K101" s="159"/>
    </row>
    <row r="102" spans="3:11" x14ac:dyDescent="0.2">
      <c r="C102" s="204" t="s">
        <v>70</v>
      </c>
      <c r="D102" s="205">
        <f>$J$55</f>
        <v>30.4</v>
      </c>
      <c r="E102" s="206"/>
      <c r="J102" s="218"/>
      <c r="K102" s="159"/>
    </row>
    <row r="103" spans="3:11" x14ac:dyDescent="0.2">
      <c r="C103" s="204" t="s">
        <v>66</v>
      </c>
      <c r="D103" s="205">
        <f>$D$9*$D$27</f>
        <v>7</v>
      </c>
      <c r="E103" s="206"/>
      <c r="J103" s="229"/>
      <c r="K103" s="159"/>
    </row>
    <row r="104" spans="3:11" x14ac:dyDescent="0.2">
      <c r="C104" s="204" t="s">
        <v>71</v>
      </c>
      <c r="D104" s="131">
        <f>ROUND(D100/D102*D103,2)</f>
        <v>0</v>
      </c>
      <c r="E104" s="206"/>
      <c r="J104" s="229"/>
    </row>
    <row r="105" spans="3:11" x14ac:dyDescent="0.2">
      <c r="C105" s="204" t="s">
        <v>121</v>
      </c>
      <c r="D105" s="131">
        <f>D31</f>
        <v>0</v>
      </c>
      <c r="E105" s="206"/>
      <c r="J105" s="229"/>
    </row>
    <row r="106" spans="3:11" ht="10.8" thickBot="1" x14ac:dyDescent="0.25">
      <c r="C106" s="230" t="s">
        <v>122</v>
      </c>
      <c r="D106" s="231">
        <f>D104-D105</f>
        <v>0</v>
      </c>
      <c r="E106" s="232"/>
      <c r="J106" s="229"/>
    </row>
    <row r="107" spans="3:11" x14ac:dyDescent="0.2">
      <c r="C107" s="124"/>
    </row>
    <row r="108" spans="3:11" hidden="1" x14ac:dyDescent="0.2">
      <c r="C108" s="124"/>
    </row>
    <row r="109" spans="3:11" ht="10.8" hidden="1" thickBot="1" x14ac:dyDescent="0.25">
      <c r="C109" s="196" t="s">
        <v>72</v>
      </c>
      <c r="D109" s="197"/>
      <c r="E109" s="197"/>
      <c r="F109" s="233"/>
      <c r="J109" s="229"/>
    </row>
    <row r="110" spans="3:11" hidden="1" x14ac:dyDescent="0.2">
      <c r="C110" s="204" t="s">
        <v>73</v>
      </c>
      <c r="D110" s="120">
        <f>IF( D119&lt;=0, 0, ROUND($D$19*$J$55,2))</f>
        <v>0</v>
      </c>
      <c r="E110" s="120"/>
      <c r="F110" s="234"/>
    </row>
    <row r="111" spans="3:11" hidden="1" x14ac:dyDescent="0.2">
      <c r="C111" s="204" t="s">
        <v>58</v>
      </c>
      <c r="D111" s="120"/>
      <c r="E111" s="120"/>
      <c r="F111" s="234"/>
    </row>
    <row r="112" spans="3:11" hidden="1" x14ac:dyDescent="0.2">
      <c r="C112" s="204" t="s">
        <v>59</v>
      </c>
      <c r="D112" s="120" t="e">
        <f>VLOOKUP($D$110,$D$174:$G$181,1)</f>
        <v>#N/A</v>
      </c>
      <c r="E112" s="120"/>
      <c r="F112" s="234"/>
    </row>
    <row r="113" spans="3:6" hidden="1" x14ac:dyDescent="0.2">
      <c r="C113" s="204" t="s">
        <v>60</v>
      </c>
      <c r="D113" s="120" t="e">
        <f>D110-D112</f>
        <v>#N/A</v>
      </c>
      <c r="E113" s="120"/>
      <c r="F113" s="234"/>
    </row>
    <row r="114" spans="3:6" hidden="1" x14ac:dyDescent="0.2">
      <c r="C114" s="204" t="s">
        <v>61</v>
      </c>
      <c r="D114" s="214" t="e">
        <f>VLOOKUP($D$110,$D$174:$G$181,4)</f>
        <v>#N/A</v>
      </c>
      <c r="E114" s="120"/>
      <c r="F114" s="234"/>
    </row>
    <row r="115" spans="3:6" hidden="1" x14ac:dyDescent="0.2">
      <c r="C115" s="204" t="s">
        <v>62</v>
      </c>
      <c r="D115" s="120" t="e">
        <f>D113*D114</f>
        <v>#N/A</v>
      </c>
      <c r="E115" s="120"/>
      <c r="F115" s="234"/>
    </row>
    <row r="116" spans="3:6" hidden="1" x14ac:dyDescent="0.2">
      <c r="C116" s="204" t="s">
        <v>63</v>
      </c>
      <c r="D116" s="120" t="e">
        <f>VLOOKUP($D$110,$D$174:$G$181,3)</f>
        <v>#N/A</v>
      </c>
      <c r="E116" s="120"/>
      <c r="F116" s="234"/>
    </row>
    <row r="117" spans="3:6" hidden="1" x14ac:dyDescent="0.2">
      <c r="C117" s="204" t="s">
        <v>74</v>
      </c>
      <c r="D117" s="120" t="e">
        <f>D115+D116</f>
        <v>#N/A</v>
      </c>
      <c r="E117" s="120" t="s">
        <v>75</v>
      </c>
      <c r="F117" s="234"/>
    </row>
    <row r="118" spans="3:6" hidden="1" x14ac:dyDescent="0.2">
      <c r="C118" s="228"/>
      <c r="D118" s="120"/>
      <c r="E118" s="120"/>
      <c r="F118" s="234"/>
    </row>
    <row r="119" spans="3:6" hidden="1" x14ac:dyDescent="0.2">
      <c r="C119" s="204" t="s">
        <v>76</v>
      </c>
      <c r="D119" s="120">
        <f>F71</f>
        <v>0</v>
      </c>
      <c r="E119" s="120"/>
      <c r="F119" s="234"/>
    </row>
    <row r="120" spans="3:6" hidden="1" x14ac:dyDescent="0.2">
      <c r="C120" s="204" t="s">
        <v>77</v>
      </c>
      <c r="D120" s="205">
        <v>365</v>
      </c>
      <c r="E120" s="120"/>
      <c r="F120" s="234"/>
    </row>
    <row r="121" spans="3:6" hidden="1" x14ac:dyDescent="0.2">
      <c r="C121" s="204" t="s">
        <v>56</v>
      </c>
      <c r="D121" s="205">
        <f>$J$55</f>
        <v>30.4</v>
      </c>
      <c r="E121" s="120"/>
      <c r="F121" s="234"/>
    </row>
    <row r="122" spans="3:6" hidden="1" x14ac:dyDescent="0.2">
      <c r="C122" s="204" t="s">
        <v>78</v>
      </c>
      <c r="D122" s="120">
        <f>ROUND(D119/D120*D121,2)</f>
        <v>0</v>
      </c>
      <c r="E122" s="120"/>
      <c r="F122" s="234"/>
    </row>
    <row r="123" spans="3:6" hidden="1" x14ac:dyDescent="0.2">
      <c r="C123" s="204" t="s">
        <v>79</v>
      </c>
      <c r="D123" s="120">
        <f>D110</f>
        <v>0</v>
      </c>
      <c r="E123" s="120"/>
      <c r="F123" s="234"/>
    </row>
    <row r="124" spans="3:6" hidden="1" x14ac:dyDescent="0.2">
      <c r="C124" s="204" t="s">
        <v>80</v>
      </c>
      <c r="D124" s="120">
        <f>D122+D123</f>
        <v>0</v>
      </c>
      <c r="E124" s="120"/>
      <c r="F124" s="234"/>
    </row>
    <row r="125" spans="3:6" hidden="1" x14ac:dyDescent="0.2">
      <c r="C125" s="204" t="s">
        <v>58</v>
      </c>
      <c r="D125" s="120"/>
      <c r="E125" s="120"/>
      <c r="F125" s="234"/>
    </row>
    <row r="126" spans="3:6" hidden="1" x14ac:dyDescent="0.2">
      <c r="C126" s="204" t="s">
        <v>59</v>
      </c>
      <c r="D126" s="120" t="e">
        <f>VLOOKUP($D$124,$D$174:$G$181,1)</f>
        <v>#N/A</v>
      </c>
      <c r="E126" s="120"/>
      <c r="F126" s="234"/>
    </row>
    <row r="127" spans="3:6" hidden="1" x14ac:dyDescent="0.2">
      <c r="C127" s="204" t="s">
        <v>60</v>
      </c>
      <c r="D127" s="120" t="e">
        <f>D124-D126</f>
        <v>#N/A</v>
      </c>
      <c r="E127" s="120"/>
      <c r="F127" s="234"/>
    </row>
    <row r="128" spans="3:6" hidden="1" x14ac:dyDescent="0.2">
      <c r="C128" s="204" t="s">
        <v>61</v>
      </c>
      <c r="D128" s="214" t="e">
        <f>VLOOKUP($D$124,$D$174:$G$181,4)</f>
        <v>#N/A</v>
      </c>
      <c r="E128" s="120"/>
      <c r="F128" s="234"/>
    </row>
    <row r="129" spans="3:6" hidden="1" x14ac:dyDescent="0.2">
      <c r="C129" s="204" t="s">
        <v>62</v>
      </c>
      <c r="D129" s="120" t="e">
        <f>D127*D128</f>
        <v>#N/A</v>
      </c>
      <c r="E129" s="120"/>
      <c r="F129" s="234"/>
    </row>
    <row r="130" spans="3:6" hidden="1" x14ac:dyDescent="0.2">
      <c r="C130" s="204" t="s">
        <v>63</v>
      </c>
      <c r="D130" s="120" t="e">
        <f>VLOOKUP($D$124,$D$174:$G$181,3)</f>
        <v>#N/A</v>
      </c>
      <c r="E130" s="120"/>
      <c r="F130" s="234"/>
    </row>
    <row r="131" spans="3:6" hidden="1" x14ac:dyDescent="0.2">
      <c r="C131" s="204" t="s">
        <v>64</v>
      </c>
      <c r="D131" s="120" t="e">
        <f>D129+D130</f>
        <v>#N/A</v>
      </c>
      <c r="E131" s="120" t="s">
        <v>81</v>
      </c>
      <c r="F131" s="234"/>
    </row>
    <row r="132" spans="3:6" hidden="1" x14ac:dyDescent="0.2">
      <c r="C132" s="204"/>
      <c r="D132" s="120"/>
      <c r="E132" s="120"/>
      <c r="F132" s="234"/>
    </row>
    <row r="133" spans="3:6" hidden="1" x14ac:dyDescent="0.2">
      <c r="C133" s="204" t="s">
        <v>82</v>
      </c>
      <c r="D133" s="120" t="e">
        <f>MAX( D131-D117, 0 )</f>
        <v>#N/A</v>
      </c>
      <c r="E133" s="120" t="s">
        <v>83</v>
      </c>
      <c r="F133" s="234"/>
    </row>
    <row r="134" spans="3:6" hidden="1" x14ac:dyDescent="0.2">
      <c r="C134" s="204" t="s">
        <v>84</v>
      </c>
      <c r="D134" s="120">
        <f>D122</f>
        <v>0</v>
      </c>
      <c r="E134" s="120"/>
      <c r="F134" s="234"/>
    </row>
    <row r="135" spans="3:6" hidden="1" x14ac:dyDescent="0.2">
      <c r="C135" s="204" t="s">
        <v>85</v>
      </c>
      <c r="D135" s="214">
        <f>IF( D119 &lt;= 0, 0, D133/D134 )</f>
        <v>0</v>
      </c>
      <c r="E135" s="120"/>
      <c r="F135" s="234"/>
    </row>
    <row r="136" spans="3:6" hidden="1" x14ac:dyDescent="0.2">
      <c r="C136" s="204" t="s">
        <v>86</v>
      </c>
      <c r="D136" s="120">
        <f>D119</f>
        <v>0</v>
      </c>
      <c r="E136" s="120"/>
      <c r="F136" s="234"/>
    </row>
    <row r="137" spans="3:6" ht="10.8" hidden="1" thickBot="1" x14ac:dyDescent="0.25">
      <c r="C137" s="230" t="s">
        <v>87</v>
      </c>
      <c r="D137" s="235">
        <f>ROUND(D136*D135,2)</f>
        <v>0</v>
      </c>
      <c r="E137" s="236"/>
      <c r="F137" s="237"/>
    </row>
    <row r="138" spans="3:6" hidden="1" x14ac:dyDescent="0.2">
      <c r="C138" s="124"/>
    </row>
    <row r="139" spans="3:6" hidden="1" x14ac:dyDescent="0.2">
      <c r="C139" s="124"/>
    </row>
    <row r="140" spans="3:6" ht="10.8" hidden="1" thickBot="1" x14ac:dyDescent="0.25">
      <c r="C140" s="196" t="s">
        <v>88</v>
      </c>
      <c r="D140" s="197"/>
      <c r="E140" s="197"/>
      <c r="F140" s="233"/>
    </row>
    <row r="141" spans="3:6" hidden="1" x14ac:dyDescent="0.2">
      <c r="C141" s="204" t="s">
        <v>73</v>
      </c>
      <c r="D141" s="120">
        <f>IF( D150&lt;=0, 0, ROUND($D$19*$J$55,2))</f>
        <v>0</v>
      </c>
      <c r="E141" s="120"/>
      <c r="F141" s="234"/>
    </row>
    <row r="142" spans="3:6" hidden="1" x14ac:dyDescent="0.2">
      <c r="C142" s="204" t="s">
        <v>58</v>
      </c>
      <c r="D142" s="120"/>
      <c r="E142" s="120"/>
      <c r="F142" s="234"/>
    </row>
    <row r="143" spans="3:6" hidden="1" x14ac:dyDescent="0.2">
      <c r="C143" s="204" t="s">
        <v>59</v>
      </c>
      <c r="D143" s="120" t="e">
        <f>VLOOKUP($D$110,$D$174:$G$181,1)</f>
        <v>#N/A</v>
      </c>
      <c r="E143" s="120"/>
      <c r="F143" s="234"/>
    </row>
    <row r="144" spans="3:6" hidden="1" x14ac:dyDescent="0.2">
      <c r="C144" s="204" t="s">
        <v>60</v>
      </c>
      <c r="D144" s="120" t="e">
        <f>D141-D143</f>
        <v>#N/A</v>
      </c>
      <c r="E144" s="120"/>
      <c r="F144" s="234"/>
    </row>
    <row r="145" spans="3:6" hidden="1" x14ac:dyDescent="0.2">
      <c r="C145" s="204" t="s">
        <v>61</v>
      </c>
      <c r="D145" s="214" t="e">
        <f>VLOOKUP($D$110,$D$174:$G$181,4)</f>
        <v>#N/A</v>
      </c>
      <c r="E145" s="120"/>
      <c r="F145" s="234"/>
    </row>
    <row r="146" spans="3:6" hidden="1" x14ac:dyDescent="0.2">
      <c r="C146" s="204" t="s">
        <v>62</v>
      </c>
      <c r="D146" s="120" t="e">
        <f>D144*D145</f>
        <v>#N/A</v>
      </c>
      <c r="E146" s="120"/>
      <c r="F146" s="234"/>
    </row>
    <row r="147" spans="3:6" hidden="1" x14ac:dyDescent="0.2">
      <c r="C147" s="204" t="s">
        <v>63</v>
      </c>
      <c r="D147" s="120" t="e">
        <f>VLOOKUP($D$110,$D$174:$G$181,3)</f>
        <v>#N/A</v>
      </c>
      <c r="E147" s="120"/>
      <c r="F147" s="234"/>
    </row>
    <row r="148" spans="3:6" hidden="1" x14ac:dyDescent="0.2">
      <c r="C148" s="204" t="s">
        <v>74</v>
      </c>
      <c r="D148" s="120" t="e">
        <f>D146+D147</f>
        <v>#N/A</v>
      </c>
      <c r="E148" s="120" t="s">
        <v>75</v>
      </c>
      <c r="F148" s="234"/>
    </row>
    <row r="149" spans="3:6" hidden="1" x14ac:dyDescent="0.2">
      <c r="C149" s="228"/>
      <c r="D149" s="120"/>
      <c r="E149" s="120"/>
      <c r="F149" s="234"/>
    </row>
    <row r="150" spans="3:6" hidden="1" x14ac:dyDescent="0.2">
      <c r="C150" s="204" t="s">
        <v>89</v>
      </c>
      <c r="D150" s="120">
        <f>F72</f>
        <v>0</v>
      </c>
      <c r="E150" s="120"/>
      <c r="F150" s="234"/>
    </row>
    <row r="151" spans="3:6" hidden="1" x14ac:dyDescent="0.2">
      <c r="C151" s="204" t="s">
        <v>77</v>
      </c>
      <c r="D151" s="205">
        <v>365</v>
      </c>
      <c r="E151" s="120"/>
      <c r="F151" s="234"/>
    </row>
    <row r="152" spans="3:6" hidden="1" x14ac:dyDescent="0.2">
      <c r="C152" s="204" t="s">
        <v>56</v>
      </c>
      <c r="D152" s="205">
        <f>$J$55</f>
        <v>30.4</v>
      </c>
      <c r="E152" s="120"/>
      <c r="F152" s="234"/>
    </row>
    <row r="153" spans="3:6" hidden="1" x14ac:dyDescent="0.2">
      <c r="C153" s="204" t="s">
        <v>78</v>
      </c>
      <c r="D153" s="120">
        <f>ROUND(D150/D151*D152,2)</f>
        <v>0</v>
      </c>
      <c r="E153" s="120"/>
      <c r="F153" s="234"/>
    </row>
    <row r="154" spans="3:6" hidden="1" x14ac:dyDescent="0.2">
      <c r="C154" s="204" t="s">
        <v>79</v>
      </c>
      <c r="D154" s="120">
        <f>D141</f>
        <v>0</v>
      </c>
      <c r="E154" s="120"/>
      <c r="F154" s="234"/>
    </row>
    <row r="155" spans="3:6" hidden="1" x14ac:dyDescent="0.2">
      <c r="C155" s="204" t="s">
        <v>80</v>
      </c>
      <c r="D155" s="120">
        <f>D153+D154</f>
        <v>0</v>
      </c>
      <c r="E155" s="120"/>
      <c r="F155" s="234"/>
    </row>
    <row r="156" spans="3:6" hidden="1" x14ac:dyDescent="0.2">
      <c r="C156" s="204" t="s">
        <v>58</v>
      </c>
      <c r="D156" s="120"/>
      <c r="E156" s="120"/>
      <c r="F156" s="234"/>
    </row>
    <row r="157" spans="3:6" hidden="1" x14ac:dyDescent="0.2">
      <c r="C157" s="204" t="s">
        <v>59</v>
      </c>
      <c r="D157" s="120" t="e">
        <f>VLOOKUP($D$155,$D$174:$G$181,1)</f>
        <v>#N/A</v>
      </c>
      <c r="E157" s="120"/>
      <c r="F157" s="234"/>
    </row>
    <row r="158" spans="3:6" hidden="1" x14ac:dyDescent="0.2">
      <c r="C158" s="204" t="s">
        <v>60</v>
      </c>
      <c r="D158" s="120" t="e">
        <f>D155-D157</f>
        <v>#N/A</v>
      </c>
      <c r="E158" s="120"/>
      <c r="F158" s="234"/>
    </row>
    <row r="159" spans="3:6" hidden="1" x14ac:dyDescent="0.2">
      <c r="C159" s="204" t="s">
        <v>61</v>
      </c>
      <c r="D159" s="214" t="e">
        <f>VLOOKUP($D$155,$D$174:$G$181,4)</f>
        <v>#N/A</v>
      </c>
      <c r="E159" s="120"/>
      <c r="F159" s="234"/>
    </row>
    <row r="160" spans="3:6" hidden="1" x14ac:dyDescent="0.2">
      <c r="C160" s="204" t="s">
        <v>62</v>
      </c>
      <c r="D160" s="120" t="e">
        <f>D158*D159</f>
        <v>#N/A</v>
      </c>
      <c r="E160" s="120"/>
      <c r="F160" s="234"/>
    </row>
    <row r="161" spans="3:20" hidden="1" x14ac:dyDescent="0.2">
      <c r="C161" s="204" t="s">
        <v>63</v>
      </c>
      <c r="D161" s="120" t="e">
        <f>VLOOKUP($D$155,$D$174:$G$181,3)</f>
        <v>#N/A</v>
      </c>
      <c r="E161" s="120"/>
      <c r="F161" s="234"/>
    </row>
    <row r="162" spans="3:20" hidden="1" x14ac:dyDescent="0.2">
      <c r="C162" s="204" t="s">
        <v>64</v>
      </c>
      <c r="D162" s="120" t="e">
        <f>D160+D161</f>
        <v>#N/A</v>
      </c>
      <c r="E162" s="120" t="s">
        <v>81</v>
      </c>
      <c r="F162" s="234"/>
    </row>
    <row r="163" spans="3:20" hidden="1" x14ac:dyDescent="0.2">
      <c r="C163" s="204"/>
      <c r="D163" s="120"/>
      <c r="E163" s="120"/>
      <c r="F163" s="234"/>
    </row>
    <row r="164" spans="3:20" hidden="1" x14ac:dyDescent="0.2">
      <c r="C164" s="204" t="s">
        <v>82</v>
      </c>
      <c r="D164" s="120" t="e">
        <f>MAX( D162-D148, 0 )</f>
        <v>#N/A</v>
      </c>
      <c r="E164" s="120" t="s">
        <v>83</v>
      </c>
      <c r="F164" s="234"/>
    </row>
    <row r="165" spans="3:20" hidden="1" x14ac:dyDescent="0.2">
      <c r="C165" s="204" t="s">
        <v>84</v>
      </c>
      <c r="D165" s="120">
        <f>D153</f>
        <v>0</v>
      </c>
      <c r="E165" s="120"/>
      <c r="F165" s="234"/>
    </row>
    <row r="166" spans="3:20" hidden="1" x14ac:dyDescent="0.2">
      <c r="C166" s="204" t="s">
        <v>85</v>
      </c>
      <c r="D166" s="214">
        <f>IF( D165 &lt;= 0, 0, D164/D165 )</f>
        <v>0</v>
      </c>
      <c r="E166" s="120"/>
      <c r="F166" s="234"/>
    </row>
    <row r="167" spans="3:20" hidden="1" x14ac:dyDescent="0.2">
      <c r="C167" s="204" t="s">
        <v>90</v>
      </c>
      <c r="D167" s="120">
        <f>D150</f>
        <v>0</v>
      </c>
      <c r="E167" s="120"/>
      <c r="F167" s="234"/>
    </row>
    <row r="168" spans="3:20" ht="10.8" hidden="1" thickBot="1" x14ac:dyDescent="0.25">
      <c r="C168" s="230" t="s">
        <v>91</v>
      </c>
      <c r="D168" s="238">
        <f>ROUND(D167*D166,2)</f>
        <v>0</v>
      </c>
      <c r="E168" s="236"/>
      <c r="F168" s="237"/>
    </row>
    <row r="169" spans="3:20" hidden="1" x14ac:dyDescent="0.2">
      <c r="C169" s="124"/>
    </row>
    <row r="170" spans="3:20" hidden="1" x14ac:dyDescent="0.2"/>
    <row r="173" spans="3:20" s="239" customFormat="1" x14ac:dyDescent="0.2">
      <c r="C173" s="239" t="s">
        <v>58</v>
      </c>
      <c r="D173" s="240" t="s">
        <v>92</v>
      </c>
      <c r="E173" s="240" t="s">
        <v>93</v>
      </c>
      <c r="F173" s="241" t="s">
        <v>13</v>
      </c>
      <c r="G173" s="241" t="s">
        <v>94</v>
      </c>
      <c r="H173" s="242"/>
      <c r="I173" s="294"/>
      <c r="J173" s="294"/>
      <c r="M173" s="242"/>
      <c r="N173" s="242"/>
      <c r="O173" s="242"/>
      <c r="P173" s="242"/>
      <c r="Q173" s="242"/>
      <c r="R173" s="242"/>
      <c r="S173" s="242"/>
      <c r="T173" s="242"/>
    </row>
    <row r="174" spans="3:20" x14ac:dyDescent="0.2">
      <c r="D174" s="150">
        <v>0.01</v>
      </c>
      <c r="E174" s="150">
        <v>844.59</v>
      </c>
      <c r="F174" s="150">
        <v>0</v>
      </c>
      <c r="G174" s="243">
        <v>1.9199999999999998E-2</v>
      </c>
      <c r="I174" s="120"/>
      <c r="J174" s="120"/>
      <c r="K174" s="120"/>
      <c r="L174" s="214"/>
      <c r="M174" s="293"/>
      <c r="N174" s="293"/>
      <c r="O174" s="293"/>
    </row>
    <row r="175" spans="3:20" x14ac:dyDescent="0.2">
      <c r="D175" s="150">
        <v>844.6</v>
      </c>
      <c r="E175" s="150">
        <v>7168.51</v>
      </c>
      <c r="F175" s="150">
        <v>16.22</v>
      </c>
      <c r="G175" s="243">
        <v>6.4000000000000001E-2</v>
      </c>
      <c r="I175" s="120"/>
      <c r="J175" s="120"/>
      <c r="K175" s="120"/>
      <c r="L175" s="214"/>
      <c r="M175" s="293"/>
      <c r="N175" s="293"/>
      <c r="O175" s="293"/>
    </row>
    <row r="176" spans="3:20" x14ac:dyDescent="0.2">
      <c r="D176" s="178">
        <v>7168.52</v>
      </c>
      <c r="E176" s="178">
        <v>12598.02</v>
      </c>
      <c r="F176" s="178">
        <v>420.95</v>
      </c>
      <c r="G176" s="244">
        <v>0.10879999999999999</v>
      </c>
      <c r="I176" s="131"/>
      <c r="J176" s="131"/>
      <c r="K176" s="131"/>
      <c r="L176" s="245"/>
      <c r="M176" s="293"/>
      <c r="N176" s="293"/>
      <c r="O176" s="293"/>
    </row>
    <row r="177" spans="3:20" x14ac:dyDescent="0.2">
      <c r="D177" s="150">
        <v>12598.03</v>
      </c>
      <c r="E177" s="150">
        <v>14644.64</v>
      </c>
      <c r="F177" s="150">
        <v>1011.68</v>
      </c>
      <c r="G177" s="243">
        <v>0.16</v>
      </c>
      <c r="I177" s="120"/>
      <c r="J177" s="120"/>
      <c r="K177" s="120"/>
      <c r="L177" s="214"/>
      <c r="M177" s="293"/>
      <c r="N177" s="293"/>
      <c r="O177" s="293"/>
    </row>
    <row r="178" spans="3:20" x14ac:dyDescent="0.2">
      <c r="D178" s="150">
        <v>14644.65</v>
      </c>
      <c r="E178" s="150">
        <v>17533.64</v>
      </c>
      <c r="F178" s="150">
        <v>1339.14</v>
      </c>
      <c r="G178" s="243">
        <v>0.1792</v>
      </c>
      <c r="I178" s="120"/>
      <c r="J178" s="120"/>
      <c r="K178" s="120"/>
      <c r="L178" s="214"/>
      <c r="M178" s="293"/>
      <c r="N178" s="293"/>
      <c r="O178" s="293"/>
    </row>
    <row r="179" spans="3:20" x14ac:dyDescent="0.2">
      <c r="D179" s="150">
        <v>17533.650000000001</v>
      </c>
      <c r="E179" s="150">
        <v>35362.83</v>
      </c>
      <c r="F179" s="178">
        <v>1856.84</v>
      </c>
      <c r="G179" s="244">
        <v>0.21360000000000001</v>
      </c>
      <c r="I179" s="120"/>
      <c r="J179" s="120"/>
      <c r="K179" s="131"/>
      <c r="L179" s="245"/>
      <c r="M179" s="293"/>
      <c r="N179" s="293"/>
      <c r="O179" s="293"/>
    </row>
    <row r="180" spans="3:20" x14ac:dyDescent="0.2">
      <c r="D180" s="150">
        <v>35362.839999999997</v>
      </c>
      <c r="E180" s="150">
        <v>55736.68</v>
      </c>
      <c r="F180" s="178">
        <v>5665.16</v>
      </c>
      <c r="G180" s="244">
        <v>0.23519999999999999</v>
      </c>
      <c r="I180" s="120"/>
      <c r="J180" s="120"/>
      <c r="K180" s="131"/>
      <c r="L180" s="245"/>
      <c r="M180" s="293"/>
      <c r="N180" s="293"/>
      <c r="O180" s="293"/>
    </row>
    <row r="181" spans="3:20" x14ac:dyDescent="0.2">
      <c r="D181" s="150">
        <v>55736.69</v>
      </c>
      <c r="E181" s="150">
        <v>106410.5</v>
      </c>
      <c r="F181" s="178">
        <v>10457.09</v>
      </c>
      <c r="G181" s="244">
        <v>0.3</v>
      </c>
      <c r="I181" s="120"/>
      <c r="J181" s="120"/>
      <c r="K181" s="131"/>
      <c r="L181" s="245"/>
      <c r="M181" s="293"/>
      <c r="N181" s="293"/>
      <c r="O181" s="293"/>
    </row>
    <row r="182" spans="3:20" x14ac:dyDescent="0.2">
      <c r="D182" s="150">
        <v>106410.51</v>
      </c>
      <c r="E182" s="150">
        <v>141880.66</v>
      </c>
      <c r="F182" s="178">
        <v>25659.23</v>
      </c>
      <c r="G182" s="244">
        <v>0.32</v>
      </c>
      <c r="I182" s="120"/>
      <c r="J182" s="120"/>
      <c r="K182" s="131"/>
      <c r="L182" s="245"/>
      <c r="M182" s="293"/>
      <c r="N182" s="293"/>
      <c r="O182" s="293"/>
    </row>
    <row r="183" spans="3:20" x14ac:dyDescent="0.2">
      <c r="D183" s="150">
        <v>141880.67000000001</v>
      </c>
      <c r="E183" s="150">
        <v>425641.99</v>
      </c>
      <c r="F183" s="178">
        <v>37009.69</v>
      </c>
      <c r="G183" s="244">
        <v>0.34</v>
      </c>
      <c r="I183" s="120"/>
      <c r="J183" s="120"/>
      <c r="K183" s="131"/>
      <c r="L183" s="245"/>
      <c r="M183" s="293"/>
      <c r="N183" s="293"/>
      <c r="O183" s="293"/>
    </row>
    <row r="184" spans="3:20" x14ac:dyDescent="0.2">
      <c r="D184" s="150">
        <v>425642</v>
      </c>
      <c r="E184" s="150" t="s">
        <v>237</v>
      </c>
      <c r="F184" s="178">
        <v>133488.54</v>
      </c>
      <c r="G184" s="244">
        <v>0.35</v>
      </c>
      <c r="I184" s="120"/>
      <c r="J184" s="120"/>
      <c r="K184" s="131"/>
      <c r="L184" s="245"/>
      <c r="M184" s="293"/>
      <c r="N184" s="293"/>
      <c r="O184" s="293"/>
    </row>
    <row r="185" spans="3:20" x14ac:dyDescent="0.2">
      <c r="D185" s="120"/>
      <c r="E185" s="120"/>
      <c r="F185" s="131"/>
      <c r="G185" s="245"/>
    </row>
    <row r="187" spans="3:20" s="239" customFormat="1" x14ac:dyDescent="0.2">
      <c r="C187" s="239" t="s">
        <v>95</v>
      </c>
      <c r="D187" s="240" t="s">
        <v>92</v>
      </c>
      <c r="E187" s="240" t="s">
        <v>93</v>
      </c>
      <c r="F187" s="241" t="s">
        <v>96</v>
      </c>
      <c r="H187" s="242"/>
      <c r="I187" s="129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</row>
    <row r="188" spans="3:20" x14ac:dyDescent="0.2">
      <c r="D188" s="150">
        <v>0.01</v>
      </c>
      <c r="E188" s="150">
        <v>11492.66</v>
      </c>
      <c r="F188" s="150">
        <v>536.22</v>
      </c>
    </row>
    <row r="189" spans="3:20" x14ac:dyDescent="0.2">
      <c r="D189" s="150">
        <v>11492.67</v>
      </c>
      <c r="E189" s="150">
        <v>0</v>
      </c>
      <c r="F189" s="150">
        <v>0</v>
      </c>
    </row>
    <row r="190" spans="3:20" x14ac:dyDescent="0.2">
      <c r="D190" s="150">
        <v>11492.67</v>
      </c>
      <c r="E190" s="150">
        <v>0</v>
      </c>
      <c r="F190" s="150">
        <v>0</v>
      </c>
    </row>
    <row r="191" spans="3:20" x14ac:dyDescent="0.2">
      <c r="D191" s="150">
        <v>11492.67</v>
      </c>
      <c r="E191" s="150">
        <v>0</v>
      </c>
      <c r="F191" s="150">
        <v>0</v>
      </c>
    </row>
    <row r="192" spans="3:20" x14ac:dyDescent="0.2">
      <c r="D192" s="150">
        <v>11492.67</v>
      </c>
      <c r="E192" s="150">
        <v>0</v>
      </c>
      <c r="F192" s="150">
        <v>0</v>
      </c>
    </row>
    <row r="193" spans="3:6" x14ac:dyDescent="0.2">
      <c r="D193" s="150">
        <v>11492.67</v>
      </c>
      <c r="E193" s="150">
        <v>0</v>
      </c>
      <c r="F193" s="150">
        <v>0</v>
      </c>
    </row>
    <row r="194" spans="3:6" x14ac:dyDescent="0.2">
      <c r="D194" s="150">
        <v>11492.67</v>
      </c>
      <c r="E194" s="150">
        <v>0</v>
      </c>
      <c r="F194" s="150">
        <v>0</v>
      </c>
    </row>
    <row r="195" spans="3:6" x14ac:dyDescent="0.2">
      <c r="D195" s="150">
        <v>11492.67</v>
      </c>
      <c r="E195" s="150">
        <v>0</v>
      </c>
      <c r="F195" s="150">
        <v>0</v>
      </c>
    </row>
    <row r="196" spans="3:6" x14ac:dyDescent="0.2">
      <c r="D196" s="150">
        <v>11492.67</v>
      </c>
      <c r="E196" s="150">
        <v>0</v>
      </c>
      <c r="F196" s="150">
        <v>0</v>
      </c>
    </row>
    <row r="197" spans="3:6" x14ac:dyDescent="0.2">
      <c r="D197" s="150">
        <v>11492.67</v>
      </c>
      <c r="E197" s="150">
        <v>0</v>
      </c>
      <c r="F197" s="150">
        <v>0</v>
      </c>
    </row>
    <row r="198" spans="3:6" x14ac:dyDescent="0.2">
      <c r="D198" s="150">
        <v>11492.67</v>
      </c>
      <c r="E198" s="150">
        <v>0</v>
      </c>
      <c r="F198" s="150">
        <v>0</v>
      </c>
    </row>
    <row r="200" spans="3:6" hidden="1" x14ac:dyDescent="0.2"/>
    <row r="201" spans="3:6" hidden="1" x14ac:dyDescent="0.2"/>
    <row r="202" spans="3:6" ht="10.8" hidden="1" thickBot="1" x14ac:dyDescent="0.25">
      <c r="C202" s="196" t="s">
        <v>98</v>
      </c>
      <c r="D202" s="197"/>
      <c r="E202" s="198"/>
    </row>
    <row r="203" spans="3:6" hidden="1" x14ac:dyDescent="0.2">
      <c r="C203" s="204" t="s">
        <v>97</v>
      </c>
      <c r="D203" s="120">
        <f>IF( $D$22=$L$22, $D$20, 0 )</f>
        <v>0</v>
      </c>
      <c r="E203" s="206"/>
    </row>
    <row r="204" spans="3:6" hidden="1" x14ac:dyDescent="0.2">
      <c r="C204" s="204" t="s">
        <v>99</v>
      </c>
      <c r="D204" s="246">
        <f>IF( $D$22=$L$22, $D$23/100, 0 )</f>
        <v>0</v>
      </c>
      <c r="E204" s="206"/>
    </row>
    <row r="205" spans="3:6" hidden="1" x14ac:dyDescent="0.2">
      <c r="C205" s="204" t="s">
        <v>100</v>
      </c>
      <c r="D205" s="247">
        <f>D203*D204</f>
        <v>0</v>
      </c>
      <c r="E205" s="206"/>
    </row>
    <row r="206" spans="3:6" hidden="1" x14ac:dyDescent="0.2">
      <c r="C206" s="204" t="s">
        <v>101</v>
      </c>
      <c r="D206" s="205">
        <f>$D$10</f>
        <v>7</v>
      </c>
      <c r="E206" s="206"/>
    </row>
    <row r="207" spans="3:6" hidden="1" x14ac:dyDescent="0.2">
      <c r="C207" s="204" t="s">
        <v>102</v>
      </c>
      <c r="D207" s="248">
        <f>ROUND(D205*D206,2)</f>
        <v>0</v>
      </c>
      <c r="E207" s="206"/>
    </row>
    <row r="208" spans="3:6" ht="10.8" hidden="1" thickBot="1" x14ac:dyDescent="0.25">
      <c r="C208" s="230"/>
      <c r="D208" s="236"/>
      <c r="E208" s="232"/>
    </row>
    <row r="209" spans="3:5" ht="10.8" hidden="1" thickBot="1" x14ac:dyDescent="0.25">
      <c r="C209" s="196" t="s">
        <v>103</v>
      </c>
      <c r="D209" s="197"/>
      <c r="E209" s="198"/>
    </row>
    <row r="210" spans="3:5" hidden="1" x14ac:dyDescent="0.2">
      <c r="C210" s="204" t="s">
        <v>104</v>
      </c>
      <c r="D210" s="120">
        <f>IF(D22=M22,D23,0)</f>
        <v>0</v>
      </c>
      <c r="E210" s="206"/>
    </row>
    <row r="211" spans="3:5" hidden="1" x14ac:dyDescent="0.2">
      <c r="C211" s="204" t="s">
        <v>105</v>
      </c>
      <c r="D211" s="205">
        <v>2</v>
      </c>
      <c r="E211" s="206"/>
    </row>
    <row r="212" spans="3:5" hidden="1" x14ac:dyDescent="0.2">
      <c r="C212" s="204" t="s">
        <v>106</v>
      </c>
      <c r="D212" s="120">
        <f>D210*D211</f>
        <v>0</v>
      </c>
      <c r="E212" s="206"/>
    </row>
    <row r="213" spans="3:5" hidden="1" x14ac:dyDescent="0.2">
      <c r="C213" s="204" t="s">
        <v>107</v>
      </c>
      <c r="D213" s="205">
        <f>D24</f>
        <v>61</v>
      </c>
      <c r="E213" s="206"/>
    </row>
    <row r="214" spans="3:5" hidden="1" x14ac:dyDescent="0.2">
      <c r="C214" s="204" t="s">
        <v>100</v>
      </c>
      <c r="D214" s="247">
        <f>D212/D213</f>
        <v>0</v>
      </c>
      <c r="E214" s="206"/>
    </row>
    <row r="215" spans="3:5" hidden="1" x14ac:dyDescent="0.2">
      <c r="C215" s="204" t="s">
        <v>101</v>
      </c>
      <c r="D215" s="205">
        <f>$D$10</f>
        <v>7</v>
      </c>
      <c r="E215" s="206"/>
    </row>
    <row r="216" spans="3:5" hidden="1" x14ac:dyDescent="0.2">
      <c r="C216" s="204" t="s">
        <v>102</v>
      </c>
      <c r="D216" s="248">
        <f>ROUND(D214*D215,2)</f>
        <v>0</v>
      </c>
      <c r="E216" s="206"/>
    </row>
    <row r="217" spans="3:5" ht="10.8" hidden="1" thickBot="1" x14ac:dyDescent="0.25">
      <c r="C217" s="249"/>
      <c r="D217" s="236"/>
      <c r="E217" s="232"/>
    </row>
    <row r="218" spans="3:5" ht="10.8" hidden="1" thickBot="1" x14ac:dyDescent="0.25">
      <c r="C218" s="196" t="s">
        <v>108</v>
      </c>
      <c r="D218" s="197"/>
      <c r="E218" s="198"/>
    </row>
    <row r="219" spans="3:5" hidden="1" x14ac:dyDescent="0.2">
      <c r="C219" s="204" t="s">
        <v>109</v>
      </c>
      <c r="D219" s="120">
        <f>$D$15</f>
        <v>315.04000000000002</v>
      </c>
      <c r="E219" s="206"/>
    </row>
    <row r="220" spans="3:5" hidden="1" x14ac:dyDescent="0.2">
      <c r="C220" s="204" t="s">
        <v>110</v>
      </c>
      <c r="D220" s="205">
        <f>IF(D22=N22,D23,0)</f>
        <v>0</v>
      </c>
      <c r="E220" s="206"/>
    </row>
    <row r="221" spans="3:5" hidden="1" x14ac:dyDescent="0.2">
      <c r="C221" s="204" t="s">
        <v>111</v>
      </c>
      <c r="D221" s="120">
        <f>ROUND(D219*D220,2)</f>
        <v>0</v>
      </c>
      <c r="E221" s="206"/>
    </row>
    <row r="222" spans="3:5" hidden="1" x14ac:dyDescent="0.2">
      <c r="C222" s="204" t="s">
        <v>105</v>
      </c>
      <c r="D222" s="205">
        <v>2</v>
      </c>
      <c r="E222" s="206"/>
    </row>
    <row r="223" spans="3:5" hidden="1" x14ac:dyDescent="0.2">
      <c r="C223" s="204" t="s">
        <v>106</v>
      </c>
      <c r="D223" s="120">
        <f>D221*D222</f>
        <v>0</v>
      </c>
      <c r="E223" s="206"/>
    </row>
    <row r="224" spans="3:5" hidden="1" x14ac:dyDescent="0.2">
      <c r="C224" s="204" t="s">
        <v>107</v>
      </c>
      <c r="D224" s="205">
        <f>$D$24</f>
        <v>61</v>
      </c>
      <c r="E224" s="206"/>
    </row>
    <row r="225" spans="3:6" hidden="1" x14ac:dyDescent="0.2">
      <c r="C225" s="204" t="s">
        <v>100</v>
      </c>
      <c r="D225" s="247">
        <f>D223/D224</f>
        <v>0</v>
      </c>
      <c r="E225" s="206"/>
    </row>
    <row r="226" spans="3:6" hidden="1" x14ac:dyDescent="0.2">
      <c r="C226" s="204" t="s">
        <v>101</v>
      </c>
      <c r="D226" s="205">
        <f>$D$10</f>
        <v>7</v>
      </c>
      <c r="E226" s="206"/>
    </row>
    <row r="227" spans="3:6" ht="10.8" hidden="1" thickBot="1" x14ac:dyDescent="0.25">
      <c r="C227" s="230" t="s">
        <v>102</v>
      </c>
      <c r="D227" s="250">
        <f>ROUND(D225*D226,2)</f>
        <v>0</v>
      </c>
      <c r="E227" s="232"/>
    </row>
    <row r="228" spans="3:6" x14ac:dyDescent="0.2">
      <c r="C228" s="315" t="s">
        <v>144</v>
      </c>
      <c r="D228" s="315"/>
      <c r="E228" s="315"/>
    </row>
    <row r="229" spans="3:6" x14ac:dyDescent="0.2">
      <c r="C229" s="115" t="s">
        <v>9</v>
      </c>
      <c r="D229" s="133">
        <f>+D20</f>
        <v>1888.7671232876712</v>
      </c>
    </row>
    <row r="230" spans="3:6" x14ac:dyDescent="0.2">
      <c r="C230" s="115" t="s">
        <v>145</v>
      </c>
      <c r="D230" s="133">
        <f>+D229*0.05</f>
        <v>94.438356164383563</v>
      </c>
    </row>
    <row r="231" spans="3:6" x14ac:dyDescent="0.2">
      <c r="C231" s="251" t="s">
        <v>146</v>
      </c>
      <c r="D231" s="183">
        <f>+D230*7</f>
        <v>661.06849315068496</v>
      </c>
      <c r="E231" s="183"/>
    </row>
    <row r="235" spans="3:6" x14ac:dyDescent="0.2">
      <c r="C235" s="315" t="s">
        <v>147</v>
      </c>
      <c r="D235" s="315"/>
      <c r="E235" s="315"/>
    </row>
    <row r="236" spans="3:6" x14ac:dyDescent="0.2">
      <c r="C236" s="115" t="s">
        <v>148</v>
      </c>
      <c r="D236" s="133">
        <f>+D55*0.0458</f>
        <v>692.49599999999998</v>
      </c>
    </row>
    <row r="238" spans="3:6" x14ac:dyDescent="0.2">
      <c r="D238" s="274">
        <v>3.2000000000000001E-2</v>
      </c>
      <c r="F238" s="115">
        <v>78.73</v>
      </c>
    </row>
    <row r="239" spans="3:6" x14ac:dyDescent="0.2">
      <c r="D239" s="133">
        <v>0.43</v>
      </c>
      <c r="F239" s="115">
        <v>120.19</v>
      </c>
    </row>
    <row r="240" spans="3:6" x14ac:dyDescent="0.2">
      <c r="D240" s="133">
        <f>+D238*D239</f>
        <v>1.376E-2</v>
      </c>
      <c r="F240" s="115">
        <f>+F238-F239</f>
        <v>-41.459999999999994</v>
      </c>
    </row>
    <row r="241" spans="4:4" x14ac:dyDescent="0.2">
      <c r="D241" s="275">
        <f>+D238+D240</f>
        <v>4.5760000000000002E-2</v>
      </c>
    </row>
  </sheetData>
  <sheetProtection selectLockedCells="1"/>
  <mergeCells count="8">
    <mergeCell ref="C235:E235"/>
    <mergeCell ref="I36:J36"/>
    <mergeCell ref="H78:J78"/>
    <mergeCell ref="C4:G4"/>
    <mergeCell ref="I6:I7"/>
    <mergeCell ref="C228:E228"/>
    <mergeCell ref="I48:J48"/>
    <mergeCell ref="C5:G5"/>
  </mergeCells>
  <phoneticPr fontId="14" type="noConversion"/>
  <dataValidations count="2">
    <dataValidation type="list" allowBlank="1" showInputMessage="1" showErrorMessage="1" errorTitle="Crédito INFONAVIT" error="Selecciona uno de los 4 Tipos de Crédito" sqref="D22" xr:uid="{00000000-0002-0000-0000-000000000000}">
      <formula1>$K$22:$N$22</formula1>
    </dataValidation>
    <dataValidation type="list" allowBlank="1" showInputMessage="1" showErrorMessage="1" sqref="D9" xr:uid="{00000000-0002-0000-0000-000001000000}">
      <formula1>$K$9:$N$9</formula1>
    </dataValidation>
  </dataValidations>
  <pageMargins left="0.75" right="0.75" top="1" bottom="1" header="0.5" footer="0.5"/>
  <pageSetup paperSize="9" scale="41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74D9-7916-7C48-B0D9-49FA01A69734}">
  <dimension ref="A1:C8"/>
  <sheetViews>
    <sheetView zoomScale="160" zoomScaleNormal="160" workbookViewId="0">
      <selection activeCell="C23" sqref="C23"/>
    </sheetView>
  </sheetViews>
  <sheetFormatPr defaultColWidth="11.44140625" defaultRowHeight="13.2" x14ac:dyDescent="0.25"/>
  <sheetData>
    <row r="1" spans="1:3" x14ac:dyDescent="0.25">
      <c r="A1">
        <v>2016</v>
      </c>
      <c r="B1">
        <v>73.040000000000006</v>
      </c>
    </row>
    <row r="2" spans="1:3" x14ac:dyDescent="0.25">
      <c r="A2">
        <v>2017</v>
      </c>
      <c r="B2">
        <v>75.489999999999995</v>
      </c>
      <c r="C2" s="39">
        <f>+B2-B1</f>
        <v>2.4499999999999886</v>
      </c>
    </row>
    <row r="3" spans="1:3" x14ac:dyDescent="0.25">
      <c r="A3">
        <v>2018</v>
      </c>
      <c r="B3">
        <v>80.599999999999994</v>
      </c>
      <c r="C3" s="39">
        <f t="shared" ref="C3:C8" si="0">+B3-B2</f>
        <v>5.1099999999999994</v>
      </c>
    </row>
    <row r="4" spans="1:3" x14ac:dyDescent="0.25">
      <c r="A4">
        <v>2019</v>
      </c>
      <c r="B4">
        <v>84.49</v>
      </c>
      <c r="C4" s="39">
        <f t="shared" si="0"/>
        <v>3.8900000000000006</v>
      </c>
    </row>
    <row r="5" spans="1:3" x14ac:dyDescent="0.25">
      <c r="A5">
        <v>2020</v>
      </c>
      <c r="B5">
        <v>86.88</v>
      </c>
      <c r="C5" s="39">
        <f t="shared" si="0"/>
        <v>2.3900000000000006</v>
      </c>
    </row>
    <row r="6" spans="1:3" x14ac:dyDescent="0.25">
      <c r="A6">
        <v>2021</v>
      </c>
      <c r="B6">
        <v>89.62</v>
      </c>
      <c r="C6" s="39">
        <f t="shared" si="0"/>
        <v>2.7400000000000091</v>
      </c>
    </row>
    <row r="7" spans="1:3" x14ac:dyDescent="0.25">
      <c r="A7">
        <v>2022</v>
      </c>
      <c r="B7">
        <v>96.22</v>
      </c>
      <c r="C7" s="39">
        <f t="shared" si="0"/>
        <v>6.5999999999999943</v>
      </c>
    </row>
    <row r="8" spans="1:3" x14ac:dyDescent="0.25">
      <c r="A8">
        <v>2023</v>
      </c>
      <c r="B8">
        <v>103.74</v>
      </c>
      <c r="C8" s="39">
        <f t="shared" si="0"/>
        <v>7.519999999999996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pageSetUpPr fitToPage="1"/>
  </sheetPr>
  <dimension ref="C1:U56"/>
  <sheetViews>
    <sheetView showGridLines="0" topLeftCell="A7" zoomScale="85" zoomScaleNormal="85" workbookViewId="0">
      <selection activeCell="E34" sqref="E34"/>
    </sheetView>
  </sheetViews>
  <sheetFormatPr defaultColWidth="9.109375" defaultRowHeight="13.2" x14ac:dyDescent="0.25"/>
  <cols>
    <col min="2" max="2" width="16.6640625" customWidth="1"/>
    <col min="3" max="3" width="42.33203125" bestFit="1" customWidth="1"/>
    <col min="4" max="4" width="13.6640625" bestFit="1" customWidth="1"/>
    <col min="5" max="5" width="31.44140625" bestFit="1" customWidth="1"/>
    <col min="7" max="7" width="14.5546875" bestFit="1" customWidth="1"/>
    <col min="8" max="8" width="12" bestFit="1" customWidth="1"/>
    <col min="9" max="9" width="13.33203125" bestFit="1" customWidth="1"/>
    <col min="10" max="10" width="19.33203125" customWidth="1"/>
    <col min="11" max="13" width="20" customWidth="1"/>
    <col min="14" max="14" width="18" bestFit="1" customWidth="1"/>
  </cols>
  <sheetData>
    <row r="1" spans="3:21" x14ac:dyDescent="0.25">
      <c r="E1" s="53" t="s">
        <v>193</v>
      </c>
    </row>
    <row r="2" spans="3:21" ht="18.600000000000001" x14ac:dyDescent="0.3">
      <c r="C2" s="326" t="s">
        <v>124</v>
      </c>
      <c r="D2" s="327"/>
      <c r="E2" s="54">
        <v>117.31</v>
      </c>
      <c r="G2" s="301" t="s">
        <v>248</v>
      </c>
    </row>
    <row r="3" spans="3:21" ht="18.600000000000001" x14ac:dyDescent="0.3">
      <c r="C3" s="52" t="s">
        <v>125</v>
      </c>
      <c r="D3" s="8">
        <f>+Calculo!D20</f>
        <v>1888.7671232876712</v>
      </c>
      <c r="E3" s="8">
        <f>+D3</f>
        <v>1888.7671232876712</v>
      </c>
      <c r="G3" s="302">
        <f>+E2*25</f>
        <v>2932.75</v>
      </c>
      <c r="H3" s="41"/>
      <c r="I3" s="23"/>
      <c r="N3" s="328" t="s">
        <v>191</v>
      </c>
      <c r="O3" s="328"/>
      <c r="P3" s="328"/>
      <c r="S3" s="328" t="s">
        <v>188</v>
      </c>
      <c r="T3" s="328"/>
      <c r="U3" s="328"/>
    </row>
    <row r="4" spans="3:21" ht="15.6" x14ac:dyDescent="0.3">
      <c r="C4" s="10" t="s">
        <v>126</v>
      </c>
      <c r="D4" s="11">
        <v>2.5000000000000001E-3</v>
      </c>
      <c r="E4" s="11">
        <v>7.0000000000000001E-3</v>
      </c>
      <c r="H4" s="41"/>
      <c r="N4" s="6" t="s">
        <v>190</v>
      </c>
      <c r="O4" s="45">
        <v>2021</v>
      </c>
      <c r="P4" s="6">
        <v>89.62</v>
      </c>
      <c r="S4" s="40" t="s">
        <v>190</v>
      </c>
      <c r="T4" s="6">
        <v>2020</v>
      </c>
      <c r="U4" s="7">
        <v>213.39</v>
      </c>
    </row>
    <row r="5" spans="3:21" ht="15.6" x14ac:dyDescent="0.3">
      <c r="C5" s="27" t="s">
        <v>156</v>
      </c>
      <c r="D5" s="12">
        <f>+D3*D4</f>
        <v>4.7219178082191782</v>
      </c>
      <c r="E5" s="12">
        <f>+E3*E4</f>
        <v>13.221369863013699</v>
      </c>
      <c r="H5" s="42"/>
      <c r="I5" s="23"/>
      <c r="N5" s="6" t="s">
        <v>190</v>
      </c>
      <c r="O5" s="40" t="s">
        <v>196</v>
      </c>
      <c r="P5" s="6">
        <v>95.28</v>
      </c>
      <c r="S5" s="40" t="s">
        <v>190</v>
      </c>
      <c r="T5" s="6">
        <v>2019</v>
      </c>
      <c r="U5" s="7">
        <v>84.49</v>
      </c>
    </row>
    <row r="6" spans="3:21" x14ac:dyDescent="0.25">
      <c r="C6" s="10"/>
      <c r="D6" s="13"/>
      <c r="E6" s="13"/>
      <c r="S6" s="40" t="s">
        <v>190</v>
      </c>
      <c r="T6" s="6">
        <v>2019</v>
      </c>
      <c r="U6" s="7">
        <v>84.49</v>
      </c>
    </row>
    <row r="7" spans="3:21" x14ac:dyDescent="0.25">
      <c r="C7" s="10" t="s">
        <v>125</v>
      </c>
      <c r="D7" s="14">
        <f>+$D$3</f>
        <v>1888.7671232876712</v>
      </c>
      <c r="E7" s="14">
        <f>+E3</f>
        <v>1888.7671232876712</v>
      </c>
      <c r="I7" s="38"/>
      <c r="S7" s="6" t="s">
        <v>190</v>
      </c>
      <c r="T7" s="6">
        <v>2018</v>
      </c>
      <c r="U7" s="7">
        <v>88.36</v>
      </c>
    </row>
    <row r="8" spans="3:21" x14ac:dyDescent="0.25">
      <c r="C8" s="10" t="s">
        <v>189</v>
      </c>
      <c r="D8" s="13">
        <f>+E2*3</f>
        <v>351.93</v>
      </c>
      <c r="E8" s="13">
        <f>+E2*3</f>
        <v>351.93</v>
      </c>
      <c r="H8" s="23"/>
      <c r="N8" s="37"/>
      <c r="P8" s="3"/>
      <c r="S8" s="6" t="s">
        <v>190</v>
      </c>
      <c r="T8" s="6">
        <v>2017</v>
      </c>
      <c r="U8" s="7">
        <v>80.040000000000006</v>
      </c>
    </row>
    <row r="9" spans="3:21" x14ac:dyDescent="0.25">
      <c r="C9" s="10" t="s">
        <v>60</v>
      </c>
      <c r="D9" s="43">
        <f>+D7-D8</f>
        <v>1536.8371232876711</v>
      </c>
      <c r="E9" s="43">
        <f>+E7-E8</f>
        <v>1536.8371232876711</v>
      </c>
      <c r="P9" s="3"/>
    </row>
    <row r="10" spans="3:21" x14ac:dyDescent="0.25">
      <c r="C10" s="10" t="s">
        <v>127</v>
      </c>
      <c r="D10" s="15">
        <v>4.0000000000000001E-3</v>
      </c>
      <c r="E10" s="15">
        <v>1.0999999999999999E-2</v>
      </c>
      <c r="H10" s="44"/>
      <c r="K10" s="44"/>
      <c r="L10" t="s">
        <v>238</v>
      </c>
      <c r="M10" s="5">
        <v>117.31</v>
      </c>
      <c r="P10" s="3"/>
    </row>
    <row r="11" spans="3:21" ht="14.4" x14ac:dyDescent="0.3">
      <c r="C11" s="27" t="s">
        <v>128</v>
      </c>
      <c r="D11" s="12">
        <f>+D9*D10</f>
        <v>6.1473484931506848</v>
      </c>
      <c r="E11" s="12">
        <f>+E9*E10</f>
        <v>16.905208356164383</v>
      </c>
      <c r="H11" s="37"/>
      <c r="J11" s="298"/>
      <c r="P11" s="4"/>
    </row>
    <row r="12" spans="3:21" ht="12.75" customHeight="1" x14ac:dyDescent="0.25">
      <c r="C12" s="10"/>
      <c r="D12" s="13"/>
      <c r="E12" s="13"/>
      <c r="H12" s="329" t="s">
        <v>231</v>
      </c>
      <c r="I12" s="330"/>
      <c r="J12" s="330"/>
      <c r="K12" s="330"/>
      <c r="L12" s="330"/>
      <c r="M12" s="330"/>
      <c r="N12" s="331"/>
    </row>
    <row r="13" spans="3:21" x14ac:dyDescent="0.25">
      <c r="C13" s="10" t="s">
        <v>125</v>
      </c>
      <c r="D13" s="14">
        <f>+$D$7</f>
        <v>1888.7671232876712</v>
      </c>
      <c r="E13" s="14">
        <f>+E3</f>
        <v>1888.7671232876712</v>
      </c>
      <c r="H13" s="332"/>
      <c r="I13" s="333"/>
      <c r="J13" s="333"/>
      <c r="K13" s="333"/>
      <c r="L13" s="333"/>
      <c r="M13" s="333"/>
      <c r="N13" s="334"/>
    </row>
    <row r="14" spans="3:21" x14ac:dyDescent="0.25">
      <c r="C14" s="10" t="s">
        <v>129</v>
      </c>
      <c r="D14" s="11">
        <v>3.7499999999999999E-3</v>
      </c>
      <c r="E14" s="11">
        <v>1.0500000000000001E-2</v>
      </c>
      <c r="H14" s="6" t="s">
        <v>232</v>
      </c>
      <c r="I14" s="6" t="s">
        <v>233</v>
      </c>
      <c r="J14" s="6" t="s">
        <v>234</v>
      </c>
      <c r="K14" s="299" t="s">
        <v>235</v>
      </c>
      <c r="L14" s="6" t="s">
        <v>234</v>
      </c>
      <c r="M14" s="299" t="s">
        <v>235</v>
      </c>
      <c r="N14" s="6" t="s">
        <v>236</v>
      </c>
    </row>
    <row r="15" spans="3:21" ht="14.4" x14ac:dyDescent="0.3">
      <c r="C15" s="27" t="s">
        <v>157</v>
      </c>
      <c r="D15" s="16">
        <f>+D13*D14</f>
        <v>7.0828767123287664</v>
      </c>
      <c r="E15" s="16">
        <f>+E13*E14</f>
        <v>19.832054794520548</v>
      </c>
      <c r="H15" s="299">
        <v>0</v>
      </c>
      <c r="I15" s="299">
        <v>1</v>
      </c>
      <c r="J15" s="6">
        <v>0</v>
      </c>
      <c r="K15" s="299">
        <v>315.04000000000002</v>
      </c>
      <c r="L15" s="299">
        <v>0</v>
      </c>
      <c r="M15" s="299">
        <v>440.87</v>
      </c>
      <c r="N15" s="300">
        <v>3.15E-2</v>
      </c>
    </row>
    <row r="16" spans="3:21" ht="14.4" x14ac:dyDescent="0.25">
      <c r="C16" s="10"/>
      <c r="D16" s="13"/>
      <c r="E16" s="13"/>
      <c r="H16" s="297">
        <v>1.01</v>
      </c>
      <c r="I16" s="297">
        <v>1.5</v>
      </c>
      <c r="J16" s="25">
        <v>318.19040000000001</v>
      </c>
      <c r="K16" s="297">
        <v>175.965</v>
      </c>
      <c r="L16" s="297">
        <v>445.27870000000001</v>
      </c>
      <c r="M16" s="297">
        <v>175.965</v>
      </c>
      <c r="N16" s="300">
        <v>3.6760000000000001E-2</v>
      </c>
      <c r="P16" s="44"/>
      <c r="Q16" s="44"/>
      <c r="R16" s="44"/>
      <c r="S16" s="44"/>
    </row>
    <row r="17" spans="3:19" ht="14.4" x14ac:dyDescent="0.25">
      <c r="C17" s="10" t="s">
        <v>125</v>
      </c>
      <c r="D17" s="14">
        <f>+$D$3</f>
        <v>1888.7671232876712</v>
      </c>
      <c r="E17" s="14">
        <f>+E3</f>
        <v>1888.7671232876712</v>
      </c>
      <c r="H17" s="299">
        <v>1.51</v>
      </c>
      <c r="I17" s="299">
        <v>2</v>
      </c>
      <c r="J17" s="25">
        <v>177.13810000000001</v>
      </c>
      <c r="K17" s="297">
        <v>234.62</v>
      </c>
      <c r="L17" s="299">
        <v>177.13810000000001</v>
      </c>
      <c r="M17" s="297">
        <v>234.62</v>
      </c>
      <c r="N17" s="300">
        <v>4.8509999999999998E-2</v>
      </c>
      <c r="P17" s="44"/>
      <c r="Q17" s="44"/>
      <c r="R17" s="44"/>
      <c r="S17" s="44"/>
    </row>
    <row r="18" spans="3:19" ht="14.4" x14ac:dyDescent="0.25">
      <c r="C18" s="10" t="s">
        <v>130</v>
      </c>
      <c r="D18" s="17">
        <v>6.2500000000000003E-3</v>
      </c>
      <c r="E18" s="17">
        <v>1.7500000000000002E-2</v>
      </c>
      <c r="H18" s="299">
        <v>2.0099999999999998</v>
      </c>
      <c r="I18" s="299">
        <v>2.5</v>
      </c>
      <c r="J18" s="25">
        <v>235.79309999999998</v>
      </c>
      <c r="K18" s="297">
        <v>293.27499999999998</v>
      </c>
      <c r="L18" s="299">
        <v>235.79309999999998</v>
      </c>
      <c r="M18" s="297">
        <v>293.27499999999998</v>
      </c>
      <c r="N18" s="300">
        <v>5.5559999999999998E-2</v>
      </c>
      <c r="P18" s="44"/>
      <c r="Q18" s="44"/>
      <c r="R18" s="44"/>
      <c r="S18" s="44"/>
    </row>
    <row r="19" spans="3:19" ht="14.4" x14ac:dyDescent="0.3">
      <c r="C19" s="18" t="s">
        <v>131</v>
      </c>
      <c r="D19" s="19">
        <f>+D17*D18</f>
        <v>11.804794520547945</v>
      </c>
      <c r="E19" s="19">
        <f>+E17*E18</f>
        <v>33.053424657534251</v>
      </c>
      <c r="H19" s="299">
        <v>2.5099999999999998</v>
      </c>
      <c r="I19" s="299">
        <v>3</v>
      </c>
      <c r="J19" s="25">
        <v>294.44809999999995</v>
      </c>
      <c r="K19" s="297">
        <v>351.93</v>
      </c>
      <c r="L19" s="299">
        <v>294.44809999999995</v>
      </c>
      <c r="M19" s="297">
        <v>351.93</v>
      </c>
      <c r="N19" s="300">
        <v>6.0260000000000001E-2</v>
      </c>
      <c r="Q19" s="44"/>
      <c r="R19" s="44"/>
      <c r="S19" s="44"/>
    </row>
    <row r="20" spans="3:19" ht="14.4" x14ac:dyDescent="0.3">
      <c r="C20" s="20"/>
      <c r="D20" s="21"/>
      <c r="E20" s="21"/>
      <c r="H20" s="299">
        <v>3.01</v>
      </c>
      <c r="I20" s="299">
        <v>3.5</v>
      </c>
      <c r="J20" s="25">
        <v>353.10309999999998</v>
      </c>
      <c r="K20" s="297">
        <v>410.58500000000004</v>
      </c>
      <c r="L20" s="299">
        <v>353.10309999999998</v>
      </c>
      <c r="M20" s="297">
        <v>410.58500000000004</v>
      </c>
      <c r="N20" s="300">
        <v>6.361E-2</v>
      </c>
      <c r="P20" s="44"/>
      <c r="Q20" s="44"/>
      <c r="R20" s="44"/>
      <c r="S20" s="44"/>
    </row>
    <row r="21" spans="3:19" ht="14.4" x14ac:dyDescent="0.25">
      <c r="C21" s="10" t="s">
        <v>125</v>
      </c>
      <c r="D21" s="14">
        <f>+$D$3</f>
        <v>1888.7671232876712</v>
      </c>
      <c r="E21" s="14">
        <f>+E3</f>
        <v>1888.7671232876712</v>
      </c>
      <c r="H21" s="299">
        <v>3.51</v>
      </c>
      <c r="I21" s="299">
        <v>4</v>
      </c>
      <c r="J21" s="25">
        <v>411.75809999999996</v>
      </c>
      <c r="K21" s="297">
        <v>469.24</v>
      </c>
      <c r="L21" s="299">
        <v>411.75809999999996</v>
      </c>
      <c r="M21" s="297">
        <v>469.24</v>
      </c>
      <c r="N21" s="300">
        <v>6.6129999999999994E-2</v>
      </c>
      <c r="P21" s="44"/>
      <c r="Q21" s="44"/>
      <c r="R21" s="44"/>
      <c r="S21" s="44"/>
    </row>
    <row r="22" spans="3:19" ht="14.4" x14ac:dyDescent="0.25">
      <c r="C22" s="10" t="s">
        <v>132</v>
      </c>
      <c r="D22" s="17">
        <v>1.125E-2</v>
      </c>
      <c r="E22" s="17">
        <v>0.02</v>
      </c>
      <c r="H22" s="299">
        <v>4.01</v>
      </c>
      <c r="I22" s="299" t="s">
        <v>237</v>
      </c>
      <c r="J22" s="25">
        <v>470.41309999999999</v>
      </c>
      <c r="K22" s="299">
        <v>2932.75</v>
      </c>
      <c r="L22" s="299">
        <v>470.41309999999999</v>
      </c>
      <c r="M22" s="299">
        <v>2932.75</v>
      </c>
      <c r="N22" s="300">
        <v>7.5130000000000002E-2</v>
      </c>
    </row>
    <row r="23" spans="3:19" ht="14.4" x14ac:dyDescent="0.3">
      <c r="C23" s="10" t="s">
        <v>133</v>
      </c>
      <c r="D23" s="12">
        <f>+D21*D22</f>
        <v>21.2486301369863</v>
      </c>
      <c r="E23" s="12">
        <f>+E21*E22</f>
        <v>37.775342465753425</v>
      </c>
    </row>
    <row r="24" spans="3:19" ht="14.4" x14ac:dyDescent="0.3">
      <c r="C24" s="10"/>
      <c r="D24" s="268"/>
      <c r="E24" s="268"/>
      <c r="I24" t="s">
        <v>239</v>
      </c>
      <c r="L24" s="44"/>
    </row>
    <row r="25" spans="3:19" ht="14.4" x14ac:dyDescent="0.3">
      <c r="C25" s="10" t="s">
        <v>125</v>
      </c>
      <c r="D25" s="12"/>
      <c r="E25" s="12">
        <f>+E3</f>
        <v>1888.7671232876712</v>
      </c>
      <c r="I25" s="37"/>
    </row>
    <row r="26" spans="3:19" ht="14.4" x14ac:dyDescent="0.3">
      <c r="C26" s="10" t="s">
        <v>132</v>
      </c>
      <c r="D26" s="268"/>
      <c r="E26" s="17">
        <f>VLOOKUP(E25,$L$15:$N$22,3)</f>
        <v>7.5130000000000002E-2</v>
      </c>
      <c r="H26" s="269"/>
    </row>
    <row r="27" spans="3:19" ht="14.4" x14ac:dyDescent="0.3">
      <c r="C27" s="10" t="s">
        <v>133</v>
      </c>
      <c r="D27" s="12"/>
      <c r="E27" s="12">
        <f>+E25*E26</f>
        <v>141.90307397260275</v>
      </c>
      <c r="I27" t="s">
        <v>240</v>
      </c>
      <c r="M27" s="44"/>
    </row>
    <row r="28" spans="3:19" x14ac:dyDescent="0.25">
      <c r="C28" s="10"/>
      <c r="D28" s="6"/>
      <c r="E28" s="6"/>
      <c r="I28" t="s">
        <v>241</v>
      </c>
      <c r="K28" s="23"/>
      <c r="L28" s="23"/>
      <c r="M28" s="23"/>
    </row>
    <row r="29" spans="3:19" x14ac:dyDescent="0.25">
      <c r="C29" s="10" t="s">
        <v>125</v>
      </c>
      <c r="D29" s="6"/>
      <c r="E29" s="25">
        <f>+E3</f>
        <v>1888.7671232876712</v>
      </c>
      <c r="I29" t="s">
        <v>242</v>
      </c>
    </row>
    <row r="30" spans="3:19" x14ac:dyDescent="0.25">
      <c r="C30" s="27" t="s">
        <v>153</v>
      </c>
      <c r="D30" s="22"/>
      <c r="E30" s="26">
        <v>0.01</v>
      </c>
      <c r="K30" s="5"/>
      <c r="L30" s="5"/>
      <c r="M30" s="5"/>
    </row>
    <row r="31" spans="3:19" x14ac:dyDescent="0.25">
      <c r="C31" s="27" t="s">
        <v>158</v>
      </c>
      <c r="D31" s="30">
        <v>0</v>
      </c>
      <c r="E31" s="29">
        <f>+E29*E30</f>
        <v>18.887671232876713</v>
      </c>
      <c r="K31" s="47"/>
      <c r="L31" s="47"/>
      <c r="M31" s="47"/>
    </row>
    <row r="32" spans="3:19" ht="12.75" customHeight="1" x14ac:dyDescent="0.25">
      <c r="C32" s="10"/>
      <c r="D32" s="22"/>
      <c r="E32" s="6"/>
    </row>
    <row r="33" spans="3:7" x14ac:dyDescent="0.25">
      <c r="C33" s="27" t="s">
        <v>159</v>
      </c>
      <c r="D33" s="22"/>
      <c r="E33" s="51">
        <f>+E2</f>
        <v>117.31</v>
      </c>
      <c r="G33" s="44"/>
    </row>
    <row r="34" spans="3:7" x14ac:dyDescent="0.25">
      <c r="C34" s="27" t="s">
        <v>13</v>
      </c>
      <c r="D34" s="22"/>
      <c r="E34" s="28">
        <v>0.20399999999999999</v>
      </c>
    </row>
    <row r="35" spans="3:7" x14ac:dyDescent="0.25">
      <c r="C35" s="27" t="s">
        <v>160</v>
      </c>
      <c r="D35" s="30">
        <v>0</v>
      </c>
      <c r="E35" s="29">
        <f>+E33*E34</f>
        <v>23.931239999999999</v>
      </c>
    </row>
    <row r="36" spans="3:7" x14ac:dyDescent="0.25">
      <c r="C36" s="27"/>
      <c r="D36" s="22"/>
      <c r="E36" s="22"/>
    </row>
    <row r="37" spans="3:7" x14ac:dyDescent="0.25">
      <c r="C37" s="10" t="s">
        <v>125</v>
      </c>
      <c r="D37" s="22"/>
      <c r="E37" s="22">
        <f>+E3</f>
        <v>1888.7671232876712</v>
      </c>
    </row>
    <row r="38" spans="3:7" ht="15" thickBot="1" x14ac:dyDescent="0.3">
      <c r="C38" s="27" t="s">
        <v>161</v>
      </c>
      <c r="D38" s="22"/>
      <c r="E38" s="46">
        <v>2.5000000000000001E-2</v>
      </c>
      <c r="G38" s="49">
        <v>0.5</v>
      </c>
    </row>
    <row r="39" spans="3:7" x14ac:dyDescent="0.25">
      <c r="C39" s="27" t="s">
        <v>162</v>
      </c>
      <c r="D39" s="30">
        <v>0</v>
      </c>
      <c r="E39" s="29">
        <f>+E37*E38</f>
        <v>47.219178082191782</v>
      </c>
    </row>
    <row r="40" spans="3:7" x14ac:dyDescent="0.25">
      <c r="C40" s="27"/>
      <c r="D40" s="22"/>
      <c r="E40" s="22"/>
    </row>
    <row r="41" spans="3:7" x14ac:dyDescent="0.25">
      <c r="C41" s="27"/>
      <c r="D41" s="6"/>
      <c r="E41" s="22"/>
    </row>
    <row r="42" spans="3:7" x14ac:dyDescent="0.25">
      <c r="C42" s="27"/>
      <c r="D42" s="6"/>
      <c r="E42" s="22"/>
    </row>
    <row r="43" spans="3:7" ht="14.4" x14ac:dyDescent="0.3">
      <c r="C43" s="27" t="s">
        <v>163</v>
      </c>
      <c r="D43" s="12">
        <f>+D5</f>
        <v>4.7219178082191782</v>
      </c>
      <c r="E43" s="12">
        <f>+E5</f>
        <v>13.221369863013699</v>
      </c>
    </row>
    <row r="44" spans="3:7" ht="14.4" x14ac:dyDescent="0.3">
      <c r="C44" s="27" t="s">
        <v>164</v>
      </c>
      <c r="D44" s="12">
        <f>+D11</f>
        <v>6.1473484931506848</v>
      </c>
      <c r="E44" s="12">
        <f>+E11</f>
        <v>16.905208356164383</v>
      </c>
    </row>
    <row r="45" spans="3:7" ht="14.4" x14ac:dyDescent="0.3">
      <c r="C45" s="27" t="s">
        <v>165</v>
      </c>
      <c r="D45" s="12">
        <f>+D15</f>
        <v>7.0828767123287664</v>
      </c>
      <c r="E45" s="12">
        <f>+E15</f>
        <v>19.832054794520548</v>
      </c>
    </row>
    <row r="46" spans="3:7" ht="14.4" x14ac:dyDescent="0.3">
      <c r="C46" s="10" t="s">
        <v>134</v>
      </c>
      <c r="D46" s="12">
        <f>+D19</f>
        <v>11.804794520547945</v>
      </c>
      <c r="E46" s="12">
        <f>+E19</f>
        <v>33.053424657534251</v>
      </c>
    </row>
    <row r="47" spans="3:7" ht="14.4" x14ac:dyDescent="0.3">
      <c r="C47" s="10" t="s">
        <v>135</v>
      </c>
      <c r="D47" s="12">
        <f>+D23</f>
        <v>21.2486301369863</v>
      </c>
      <c r="E47" s="12">
        <v>0</v>
      </c>
    </row>
    <row r="48" spans="3:7" ht="14.4" x14ac:dyDescent="0.3">
      <c r="C48" s="27" t="s">
        <v>167</v>
      </c>
      <c r="D48" s="12">
        <f>+D35</f>
        <v>0</v>
      </c>
      <c r="E48" s="12">
        <f>+E35</f>
        <v>23.931239999999999</v>
      </c>
    </row>
    <row r="49" spans="3:5" ht="14.4" x14ac:dyDescent="0.3">
      <c r="C49" s="27" t="s">
        <v>154</v>
      </c>
      <c r="D49" s="12">
        <v>0</v>
      </c>
      <c r="E49" s="12">
        <f>+E31</f>
        <v>18.887671232876713</v>
      </c>
    </row>
    <row r="50" spans="3:5" ht="14.4" x14ac:dyDescent="0.3">
      <c r="C50" s="27" t="s">
        <v>166</v>
      </c>
      <c r="D50" s="12">
        <v>0</v>
      </c>
      <c r="E50" s="12">
        <f>+E39</f>
        <v>47.219178082191782</v>
      </c>
    </row>
    <row r="51" spans="3:5" ht="14.4" x14ac:dyDescent="0.3">
      <c r="C51" s="10" t="s">
        <v>136</v>
      </c>
      <c r="D51" s="12">
        <f>SUM(D43:D50)</f>
        <v>51.005567671232875</v>
      </c>
      <c r="E51" s="12">
        <f>SUM(E43:E50)</f>
        <v>173.05014698630137</v>
      </c>
    </row>
    <row r="52" spans="3:5" x14ac:dyDescent="0.25">
      <c r="C52" s="10"/>
      <c r="D52" s="6"/>
      <c r="E52" s="6"/>
    </row>
    <row r="53" spans="3:5" x14ac:dyDescent="0.25">
      <c r="C53" s="10" t="s">
        <v>137</v>
      </c>
      <c r="D53" s="6">
        <f>+Calculo!D9</f>
        <v>7</v>
      </c>
      <c r="E53" s="6">
        <f>+D53</f>
        <v>7</v>
      </c>
    </row>
    <row r="54" spans="3:5" ht="14.4" x14ac:dyDescent="0.3">
      <c r="C54" s="10" t="s">
        <v>138</v>
      </c>
      <c r="D54" s="12">
        <f>+D51*D53</f>
        <v>357.03897369863012</v>
      </c>
      <c r="E54" s="12">
        <f>+E51*E53</f>
        <v>1211.3510289041096</v>
      </c>
    </row>
    <row r="55" spans="3:5" x14ac:dyDescent="0.25">
      <c r="C55" s="9"/>
    </row>
    <row r="56" spans="3:5" x14ac:dyDescent="0.25">
      <c r="C56" s="10" t="s">
        <v>155</v>
      </c>
      <c r="D56" s="6"/>
      <c r="E56" s="31">
        <f>(E23+E27)*7</f>
        <v>1257.7489150684933</v>
      </c>
    </row>
  </sheetData>
  <mergeCells count="4">
    <mergeCell ref="C2:D2"/>
    <mergeCell ref="N3:P3"/>
    <mergeCell ref="S3:U3"/>
    <mergeCell ref="H12:N13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zoomScaleNormal="100" workbookViewId="0">
      <selection activeCell="C30" sqref="C30"/>
    </sheetView>
  </sheetViews>
  <sheetFormatPr defaultColWidth="8.6640625" defaultRowHeight="13.2" x14ac:dyDescent="0.25"/>
  <cols>
    <col min="1" max="1" width="58.44140625" style="56" customWidth="1"/>
    <col min="2" max="2" width="13.33203125" bestFit="1" customWidth="1"/>
  </cols>
  <sheetData>
    <row r="1" spans="1:4" ht="13.8" thickBot="1" x14ac:dyDescent="0.3"/>
    <row r="2" spans="1:4" ht="15" thickBot="1" x14ac:dyDescent="0.3">
      <c r="A2" s="57" t="s">
        <v>195</v>
      </c>
      <c r="B2" s="48" t="s">
        <v>197</v>
      </c>
      <c r="D2" s="50"/>
    </row>
    <row r="3" spans="1:4" ht="15" thickBot="1" x14ac:dyDescent="0.3">
      <c r="A3" s="58"/>
      <c r="B3" s="49">
        <v>0.52778999999999998</v>
      </c>
      <c r="C3" s="6"/>
    </row>
    <row r="4" spans="1:4" ht="15" thickBot="1" x14ac:dyDescent="0.3">
      <c r="A4" s="58"/>
      <c r="B4" s="49">
        <v>0.68559000000000003</v>
      </c>
      <c r="C4" s="6">
        <v>0.69559000000000004</v>
      </c>
    </row>
    <row r="5" spans="1:4" ht="15" thickBot="1" x14ac:dyDescent="0.3">
      <c r="A5" s="58"/>
      <c r="B5" s="49">
        <v>0.5</v>
      </c>
      <c r="C5" s="6"/>
    </row>
    <row r="6" spans="1:4" ht="15" thickBot="1" x14ac:dyDescent="0.3">
      <c r="A6" s="58"/>
      <c r="B6" s="49">
        <v>0.5</v>
      </c>
      <c r="C6" s="6"/>
    </row>
    <row r="7" spans="1:4" ht="15" thickBot="1" x14ac:dyDescent="0.3">
      <c r="A7" s="58"/>
      <c r="B7" s="49">
        <v>0.89383999999999997</v>
      </c>
      <c r="C7" s="6"/>
    </row>
    <row r="8" spans="1:4" ht="15" thickBot="1" x14ac:dyDescent="0.3">
      <c r="A8" s="58"/>
      <c r="B8" s="49">
        <v>0.5</v>
      </c>
      <c r="C8" s="6"/>
    </row>
    <row r="9" spans="1:4" ht="15" thickBot="1" x14ac:dyDescent="0.3">
      <c r="A9" s="58"/>
      <c r="B9" s="49">
        <v>2.5036399999999999</v>
      </c>
      <c r="C9" s="6"/>
    </row>
    <row r="10" spans="1:4" ht="15" thickBot="1" x14ac:dyDescent="0.3">
      <c r="A10" s="58"/>
      <c r="B10" s="49">
        <v>0.5</v>
      </c>
      <c r="C10" s="6"/>
    </row>
    <row r="11" spans="1:4" ht="15" thickBot="1" x14ac:dyDescent="0.3">
      <c r="A11" s="58"/>
      <c r="B11" s="49">
        <v>0.5</v>
      </c>
      <c r="C11" s="6"/>
    </row>
    <row r="12" spans="1:4" ht="15" thickBot="1" x14ac:dyDescent="0.3">
      <c r="A12" s="58"/>
      <c r="B12" s="49">
        <v>0.56122000000000005</v>
      </c>
      <c r="C12" s="6"/>
    </row>
    <row r="13" spans="1:4" ht="15" thickBot="1" x14ac:dyDescent="0.3">
      <c r="A13" s="58"/>
      <c r="B13" s="49">
        <v>0.98019999999999996</v>
      </c>
      <c r="C13" s="6">
        <v>0.99019999999999997</v>
      </c>
    </row>
    <row r="14" spans="1:4" ht="15" thickBot="1" x14ac:dyDescent="0.3">
      <c r="A14" s="58"/>
      <c r="B14" s="49">
        <v>0.78573000000000004</v>
      </c>
      <c r="C14" s="6"/>
    </row>
    <row r="15" spans="1:4" ht="15" thickBot="1" x14ac:dyDescent="0.3">
      <c r="A15" s="58"/>
      <c r="B15" s="49">
        <v>0.62370999999999999</v>
      </c>
      <c r="C15" s="6">
        <v>0.63371</v>
      </c>
    </row>
    <row r="16" spans="1:4" ht="15" thickBot="1" x14ac:dyDescent="0.3">
      <c r="A16" s="58"/>
      <c r="B16" s="49">
        <v>4.6532499999999999</v>
      </c>
      <c r="C16" s="6"/>
    </row>
    <row r="17" spans="1:3" ht="15" thickBot="1" x14ac:dyDescent="0.3">
      <c r="A17" s="58"/>
      <c r="B17" s="49">
        <v>0.52795000000000003</v>
      </c>
      <c r="C17" s="6"/>
    </row>
    <row r="18" spans="1:3" ht="15" thickBot="1" x14ac:dyDescent="0.3">
      <c r="A18" s="58"/>
      <c r="B18" s="49">
        <v>2.0753400000000002</v>
      </c>
      <c r="C18" s="6"/>
    </row>
    <row r="19" spans="1:3" x14ac:dyDescent="0.25">
      <c r="C19" s="6"/>
    </row>
    <row r="20" spans="1:3" ht="15" thickBot="1" x14ac:dyDescent="0.3">
      <c r="A20" s="58"/>
      <c r="B20" s="49">
        <v>4.6532499999999999</v>
      </c>
      <c r="C20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3:G51"/>
  <sheetViews>
    <sheetView showGridLines="0" tabSelected="1" topLeftCell="A19" zoomScale="180" zoomScaleNormal="180" workbookViewId="0">
      <selection activeCell="D16" sqref="D16"/>
    </sheetView>
  </sheetViews>
  <sheetFormatPr defaultColWidth="9.109375" defaultRowHeight="13.2" x14ac:dyDescent="0.25"/>
  <cols>
    <col min="2" max="2" width="10.33203125" bestFit="1" customWidth="1"/>
    <col min="3" max="3" width="16.6640625" bestFit="1" customWidth="1"/>
    <col min="4" max="4" width="13.44140625" customWidth="1"/>
    <col min="5" max="5" width="11" bestFit="1" customWidth="1"/>
    <col min="6" max="7" width="11.109375" bestFit="1" customWidth="1"/>
  </cols>
  <sheetData>
    <row r="3" spans="2:5" x14ac:dyDescent="0.25">
      <c r="B3" s="335" t="s">
        <v>183</v>
      </c>
      <c r="C3" s="335"/>
      <c r="D3" s="335"/>
    </row>
    <row r="5" spans="2:5" x14ac:dyDescent="0.25">
      <c r="B5" s="23" t="s">
        <v>176</v>
      </c>
    </row>
    <row r="6" spans="2:5" x14ac:dyDescent="0.25">
      <c r="C6" t="s">
        <v>20</v>
      </c>
      <c r="D6" s="32">
        <f>+Calculo!D35</f>
        <v>10800</v>
      </c>
    </row>
    <row r="7" spans="2:5" x14ac:dyDescent="0.25">
      <c r="C7" t="s">
        <v>173</v>
      </c>
      <c r="D7" s="32">
        <f>+Calculo!D36</f>
        <v>1800</v>
      </c>
    </row>
    <row r="8" spans="2:5" x14ac:dyDescent="0.25">
      <c r="C8" t="s">
        <v>174</v>
      </c>
      <c r="D8" s="32">
        <f>+Calculo!D47</f>
        <v>1260</v>
      </c>
    </row>
    <row r="9" spans="2:5" x14ac:dyDescent="0.25">
      <c r="C9" t="s">
        <v>175</v>
      </c>
      <c r="D9" s="32">
        <f>+Calculo!D48</f>
        <v>1260</v>
      </c>
    </row>
    <row r="10" spans="2:5" x14ac:dyDescent="0.25">
      <c r="C10" s="111" t="s">
        <v>181</v>
      </c>
      <c r="D10" s="112">
        <f>SUM(D6:D9)</f>
        <v>15120</v>
      </c>
      <c r="E10" s="39">
        <v>5760</v>
      </c>
    </row>
    <row r="12" spans="2:5" x14ac:dyDescent="0.25">
      <c r="B12" s="23" t="s">
        <v>177</v>
      </c>
    </row>
    <row r="13" spans="2:5" x14ac:dyDescent="0.25">
      <c r="C13" s="24" t="s">
        <v>141</v>
      </c>
      <c r="D13" s="32">
        <f>+Calculo!D61</f>
        <v>357.03897369863012</v>
      </c>
    </row>
    <row r="14" spans="2:5" x14ac:dyDescent="0.25">
      <c r="C14" s="24" t="s">
        <v>178</v>
      </c>
      <c r="D14" s="32">
        <f>+Calculo!D58</f>
        <v>3093.65</v>
      </c>
    </row>
    <row r="15" spans="2:5" x14ac:dyDescent="0.25">
      <c r="C15" s="24" t="s">
        <v>179</v>
      </c>
      <c r="D15" s="2">
        <v>0</v>
      </c>
    </row>
    <row r="16" spans="2:5" x14ac:dyDescent="0.25">
      <c r="C16" s="24" t="s">
        <v>180</v>
      </c>
      <c r="D16" s="36">
        <f>SUM(D13:D15)</f>
        <v>3450.6889736986304</v>
      </c>
    </row>
    <row r="19" spans="2:7" x14ac:dyDescent="0.25">
      <c r="C19" s="34" t="s">
        <v>182</v>
      </c>
      <c r="D19" s="59">
        <f>+D10-D16</f>
        <v>11669.31102630137</v>
      </c>
    </row>
    <row r="20" spans="2:7" x14ac:dyDescent="0.25">
      <c r="C20" s="37" t="s">
        <v>194</v>
      </c>
      <c r="D20" s="39">
        <f>+Calculo!D64</f>
        <v>200</v>
      </c>
    </row>
    <row r="21" spans="2:7" x14ac:dyDescent="0.25">
      <c r="C21" s="60" t="s">
        <v>211</v>
      </c>
      <c r="D21" s="61">
        <f>+D19+D20</f>
        <v>11869.31102630137</v>
      </c>
      <c r="E21" s="39">
        <v>21465.25</v>
      </c>
      <c r="F21" s="35">
        <f>+D21+E21</f>
        <v>33334.561026301366</v>
      </c>
    </row>
    <row r="22" spans="2:7" x14ac:dyDescent="0.25">
      <c r="B22" s="23" t="s">
        <v>184</v>
      </c>
    </row>
    <row r="23" spans="2:7" x14ac:dyDescent="0.25">
      <c r="C23" s="24" t="s">
        <v>185</v>
      </c>
      <c r="D23" s="32">
        <f>+Calculo!I79</f>
        <v>1211.3510289041096</v>
      </c>
    </row>
    <row r="24" spans="2:7" x14ac:dyDescent="0.25">
      <c r="C24" s="24" t="s">
        <v>170</v>
      </c>
      <c r="D24" s="32">
        <f>+Calculo!I81</f>
        <v>661.06849315068496</v>
      </c>
      <c r="G24" s="32"/>
    </row>
    <row r="25" spans="2:7" x14ac:dyDescent="0.25">
      <c r="C25" s="24" t="s">
        <v>171</v>
      </c>
      <c r="D25" s="35">
        <f>+Calculo!I83</f>
        <v>1257.7489150684933</v>
      </c>
    </row>
    <row r="26" spans="2:7" x14ac:dyDescent="0.25">
      <c r="C26" s="24" t="s">
        <v>172</v>
      </c>
      <c r="D26" s="33">
        <f>+Calculo!I85</f>
        <v>692.49599999999998</v>
      </c>
      <c r="G26" s="32"/>
    </row>
    <row r="27" spans="2:7" x14ac:dyDescent="0.25">
      <c r="C27" s="24" t="s">
        <v>186</v>
      </c>
      <c r="D27" s="36">
        <f>SUM(D23:D26)</f>
        <v>3822.6644371232878</v>
      </c>
      <c r="G27" s="32"/>
    </row>
    <row r="28" spans="2:7" x14ac:dyDescent="0.25">
      <c r="G28" s="32"/>
    </row>
    <row r="29" spans="2:7" x14ac:dyDescent="0.25">
      <c r="C29" s="37" t="s">
        <v>216</v>
      </c>
      <c r="D29" s="36">
        <f>+D10+D27+D20</f>
        <v>19142.664437123287</v>
      </c>
      <c r="F29" s="39"/>
      <c r="G29" s="92"/>
    </row>
    <row r="31" spans="2:7" x14ac:dyDescent="0.25">
      <c r="C31" s="96" t="s">
        <v>217</v>
      </c>
      <c r="D31" s="97">
        <f>+(((12*D7)*0.25)+(12*D7)+(15*D7))/52</f>
        <v>1038.4615384615386</v>
      </c>
    </row>
    <row r="32" spans="2:7" x14ac:dyDescent="0.25">
      <c r="D32" s="1"/>
    </row>
    <row r="33" spans="1:4" x14ac:dyDescent="0.25">
      <c r="A33" s="98" t="s">
        <v>218</v>
      </c>
      <c r="B33" s="99"/>
      <c r="C33" s="99"/>
      <c r="D33" s="100">
        <v>0</v>
      </c>
    </row>
    <row r="34" spans="1:4" x14ac:dyDescent="0.25">
      <c r="A34" s="101"/>
      <c r="B34" s="102"/>
      <c r="C34" s="102"/>
      <c r="D34" s="103"/>
    </row>
    <row r="35" spans="1:4" x14ac:dyDescent="0.25">
      <c r="A35" s="101"/>
      <c r="B35" s="102" t="s">
        <v>219</v>
      </c>
      <c r="C35" s="102" t="s">
        <v>220</v>
      </c>
      <c r="D35" s="103"/>
    </row>
    <row r="36" spans="1:4" x14ac:dyDescent="0.25">
      <c r="A36" s="101" t="s">
        <v>221</v>
      </c>
      <c r="B36" s="102">
        <v>8.23</v>
      </c>
      <c r="C36" s="102">
        <v>1</v>
      </c>
      <c r="D36" s="103">
        <f>+B36*1.15</f>
        <v>9.4644999999999992</v>
      </c>
    </row>
    <row r="37" spans="1:4" x14ac:dyDescent="0.25">
      <c r="A37" s="101" t="s">
        <v>222</v>
      </c>
      <c r="B37" s="102">
        <v>4.21</v>
      </c>
      <c r="C37" s="102">
        <v>1</v>
      </c>
      <c r="D37" s="104">
        <f>+B37*1.15</f>
        <v>4.8414999999999999</v>
      </c>
    </row>
    <row r="38" spans="1:4" ht="14.4" x14ac:dyDescent="0.3">
      <c r="A38" s="101" t="s">
        <v>223</v>
      </c>
      <c r="B38" s="102"/>
      <c r="C38" s="102"/>
      <c r="D38" s="105">
        <f>SUM(D36:D37)</f>
        <v>14.305999999999999</v>
      </c>
    </row>
    <row r="39" spans="1:4" x14ac:dyDescent="0.25">
      <c r="A39" s="101"/>
      <c r="B39" s="102"/>
      <c r="C39" s="102"/>
      <c r="D39" s="103"/>
    </row>
    <row r="40" spans="1:4" x14ac:dyDescent="0.25">
      <c r="A40" s="101" t="s">
        <v>224</v>
      </c>
      <c r="B40" s="102"/>
      <c r="C40" s="102"/>
      <c r="D40" s="103">
        <v>48</v>
      </c>
    </row>
    <row r="41" spans="1:4" ht="14.4" x14ac:dyDescent="0.3">
      <c r="A41" s="98" t="s">
        <v>225</v>
      </c>
      <c r="B41" s="99"/>
      <c r="C41" s="99"/>
      <c r="D41" s="106">
        <v>500</v>
      </c>
    </row>
    <row r="42" spans="1:4" x14ac:dyDescent="0.25">
      <c r="A42" s="101"/>
      <c r="B42" s="102"/>
      <c r="C42" s="102"/>
      <c r="D42" s="103"/>
    </row>
    <row r="43" spans="1:4" x14ac:dyDescent="0.25">
      <c r="A43" s="101"/>
      <c r="B43" s="102"/>
      <c r="C43" s="102"/>
      <c r="D43" s="103"/>
    </row>
    <row r="44" spans="1:4" x14ac:dyDescent="0.25">
      <c r="A44" s="101" t="s">
        <v>226</v>
      </c>
      <c r="B44" s="102"/>
      <c r="C44" s="102"/>
      <c r="D44" s="103">
        <v>12.8</v>
      </c>
    </row>
    <row r="45" spans="1:4" x14ac:dyDescent="0.25">
      <c r="A45" s="101" t="s">
        <v>151</v>
      </c>
      <c r="B45" s="102"/>
      <c r="C45" s="102"/>
      <c r="D45" s="103">
        <v>0.93</v>
      </c>
    </row>
    <row r="46" spans="1:4" x14ac:dyDescent="0.25">
      <c r="A46" s="101" t="s">
        <v>225</v>
      </c>
      <c r="B46" s="102"/>
      <c r="C46" s="102"/>
      <c r="D46" s="103">
        <f>+D41/D40</f>
        <v>10.416666666666666</v>
      </c>
    </row>
    <row r="47" spans="1:4" x14ac:dyDescent="0.25">
      <c r="A47" s="101" t="s">
        <v>227</v>
      </c>
      <c r="B47" s="102"/>
      <c r="C47" s="102"/>
      <c r="D47" s="103">
        <f>+D29/D40</f>
        <v>398.80550910673514</v>
      </c>
    </row>
    <row r="48" spans="1:4" x14ac:dyDescent="0.25">
      <c r="A48" s="101" t="s">
        <v>228</v>
      </c>
      <c r="B48" s="102"/>
      <c r="C48" s="102"/>
      <c r="D48" s="107">
        <f>+D38/D40</f>
        <v>0.29804166666666665</v>
      </c>
    </row>
    <row r="49" spans="1:4" x14ac:dyDescent="0.25">
      <c r="A49" s="101" t="s">
        <v>229</v>
      </c>
      <c r="B49" s="102"/>
      <c r="C49" s="102"/>
      <c r="D49" s="107">
        <f>+D31/D40</f>
        <v>21.634615384615387</v>
      </c>
    </row>
    <row r="50" spans="1:4" x14ac:dyDescent="0.25">
      <c r="A50" s="101" t="s">
        <v>218</v>
      </c>
      <c r="B50" s="102"/>
      <c r="C50" s="102"/>
      <c r="D50" s="104">
        <f>+D33/D40</f>
        <v>0</v>
      </c>
    </row>
    <row r="51" spans="1:4" ht="14.4" x14ac:dyDescent="0.3">
      <c r="A51" s="108" t="s">
        <v>230</v>
      </c>
      <c r="B51" s="109"/>
      <c r="C51" s="109"/>
      <c r="D51" s="110">
        <f>SUM(D44:D50)</f>
        <v>444.88483282468383</v>
      </c>
    </row>
  </sheetData>
  <mergeCells count="1">
    <mergeCell ref="B3:D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5767-D60E-4655-A92F-8CD72214A1C5}">
  <dimension ref="B3:D29"/>
  <sheetViews>
    <sheetView workbookViewId="0">
      <selection activeCell="E36" sqref="E36"/>
    </sheetView>
  </sheetViews>
  <sheetFormatPr defaultColWidth="8.88671875" defaultRowHeight="13.2" x14ac:dyDescent="0.25"/>
  <cols>
    <col min="2" max="2" width="17.88671875" bestFit="1" customWidth="1"/>
    <col min="3" max="3" width="16.44140625" bestFit="1" customWidth="1"/>
    <col min="4" max="4" width="11.33203125" bestFit="1" customWidth="1"/>
  </cols>
  <sheetData>
    <row r="3" spans="2:4" x14ac:dyDescent="0.25">
      <c r="B3" s="335" t="s">
        <v>183</v>
      </c>
      <c r="C3" s="335"/>
      <c r="D3" s="335"/>
    </row>
    <row r="5" spans="2:4" x14ac:dyDescent="0.25">
      <c r="B5" s="23" t="s">
        <v>176</v>
      </c>
    </row>
    <row r="6" spans="2:4" x14ac:dyDescent="0.25">
      <c r="C6" t="s">
        <v>20</v>
      </c>
      <c r="D6" s="32">
        <v>13518.66</v>
      </c>
    </row>
    <row r="7" spans="2:4" x14ac:dyDescent="0.25">
      <c r="C7" t="s">
        <v>173</v>
      </c>
      <c r="D7" s="32">
        <v>2253.11</v>
      </c>
    </row>
    <row r="8" spans="2:4" x14ac:dyDescent="0.25">
      <c r="C8" t="s">
        <v>174</v>
      </c>
      <c r="D8" s="32">
        <v>1577.1770000000001</v>
      </c>
    </row>
    <row r="9" spans="2:4" x14ac:dyDescent="0.25">
      <c r="C9" t="s">
        <v>175</v>
      </c>
      <c r="D9" s="32">
        <v>1577.1770000000001</v>
      </c>
    </row>
    <row r="10" spans="2:4" x14ac:dyDescent="0.25">
      <c r="C10" s="111" t="s">
        <v>181</v>
      </c>
      <c r="D10" s="112">
        <v>18926.124</v>
      </c>
    </row>
    <row r="12" spans="2:4" x14ac:dyDescent="0.25">
      <c r="B12" s="23" t="s">
        <v>177</v>
      </c>
    </row>
    <row r="13" spans="2:4" x14ac:dyDescent="0.25">
      <c r="C13" s="24" t="s">
        <v>141</v>
      </c>
      <c r="D13" s="32">
        <v>450.53601671917818</v>
      </c>
    </row>
    <row r="14" spans="2:4" x14ac:dyDescent="0.25">
      <c r="C14" s="24" t="s">
        <v>178</v>
      </c>
      <c r="D14" s="32">
        <v>4403.79</v>
      </c>
    </row>
    <row r="15" spans="2:4" x14ac:dyDescent="0.25">
      <c r="C15" s="24" t="s">
        <v>179</v>
      </c>
      <c r="D15" s="2">
        <v>0</v>
      </c>
    </row>
    <row r="16" spans="2:4" x14ac:dyDescent="0.25">
      <c r="C16" s="24" t="s">
        <v>180</v>
      </c>
      <c r="D16" s="36">
        <v>4854.3260167191784</v>
      </c>
    </row>
    <row r="19" spans="2:4" x14ac:dyDescent="0.25">
      <c r="C19" s="34" t="s">
        <v>182</v>
      </c>
      <c r="D19" s="59">
        <v>14071.797983280821</v>
      </c>
    </row>
    <row r="20" spans="2:4" x14ac:dyDescent="0.25">
      <c r="C20" s="37" t="s">
        <v>194</v>
      </c>
      <c r="D20" s="39">
        <v>200</v>
      </c>
    </row>
    <row r="21" spans="2:4" x14ac:dyDescent="0.25">
      <c r="C21" s="60" t="s">
        <v>211</v>
      </c>
      <c r="D21" s="61">
        <v>14271.797983280821</v>
      </c>
    </row>
    <row r="22" spans="2:4" x14ac:dyDescent="0.25">
      <c r="B22" s="23" t="s">
        <v>184</v>
      </c>
    </row>
    <row r="23" spans="2:4" x14ac:dyDescent="0.25">
      <c r="C23" s="24" t="s">
        <v>185</v>
      </c>
      <c r="D23" s="32">
        <v>1464.6908093424661</v>
      </c>
    </row>
    <row r="24" spans="2:4" x14ac:dyDescent="0.25">
      <c r="C24" s="24" t="s">
        <v>170</v>
      </c>
      <c r="D24" s="32">
        <v>827.47779589041113</v>
      </c>
    </row>
    <row r="25" spans="2:4" x14ac:dyDescent="0.25">
      <c r="C25" s="24" t="s">
        <v>171</v>
      </c>
      <c r="D25" s="35">
        <v>1032.8577848304112</v>
      </c>
    </row>
    <row r="26" spans="2:4" x14ac:dyDescent="0.25">
      <c r="C26" s="24" t="s">
        <v>172</v>
      </c>
      <c r="D26" s="33">
        <v>866.8164792</v>
      </c>
    </row>
    <row r="27" spans="2:4" x14ac:dyDescent="0.25">
      <c r="C27" s="24" t="s">
        <v>186</v>
      </c>
      <c r="D27" s="36">
        <v>4191.8428692632888</v>
      </c>
    </row>
    <row r="29" spans="2:4" x14ac:dyDescent="0.25">
      <c r="C29" s="37" t="s">
        <v>216</v>
      </c>
      <c r="D29" s="36">
        <v>23317.966869263288</v>
      </c>
    </row>
  </sheetData>
  <mergeCells count="1">
    <mergeCell ref="B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B5E61-7B14-E34A-AD97-1E31A12B4858}">
  <dimension ref="C3:M38"/>
  <sheetViews>
    <sheetView showGridLines="0" zoomScale="90" zoomScaleNormal="90" workbookViewId="0">
      <selection activeCell="E6" sqref="E6"/>
    </sheetView>
  </sheetViews>
  <sheetFormatPr defaultColWidth="11.44140625" defaultRowHeight="13.2" x14ac:dyDescent="0.25"/>
  <cols>
    <col min="3" max="3" width="10.33203125" bestFit="1" customWidth="1"/>
    <col min="4" max="4" width="16.6640625" bestFit="1" customWidth="1"/>
    <col min="5" max="5" width="13.44140625" style="39" customWidth="1"/>
    <col min="6" max="6" width="5.6640625" style="39" customWidth="1"/>
    <col min="7" max="7" width="13.44140625" style="39" customWidth="1"/>
    <col min="8" max="8" width="4.6640625" style="65" customWidth="1"/>
    <col min="9" max="9" width="13.44140625" style="39" customWidth="1"/>
    <col min="10" max="10" width="4.44140625" style="65" customWidth="1"/>
    <col min="11" max="11" width="13.44140625" style="39" customWidth="1"/>
    <col min="12" max="12" width="4.6640625" style="65" customWidth="1"/>
    <col min="13" max="13" width="13.44140625" style="39" customWidth="1"/>
  </cols>
  <sheetData>
    <row r="3" spans="3:13" x14ac:dyDescent="0.25">
      <c r="C3" s="335" t="s">
        <v>183</v>
      </c>
      <c r="D3" s="335"/>
      <c r="E3" s="335"/>
      <c r="F3" s="55"/>
      <c r="G3" s="55"/>
      <c r="H3" s="64"/>
      <c r="I3" s="55"/>
      <c r="J3" s="64"/>
      <c r="K3" s="55"/>
      <c r="L3" s="64"/>
      <c r="M3" s="55"/>
    </row>
    <row r="5" spans="3:13" s="62" customFormat="1" x14ac:dyDescent="0.25">
      <c r="C5" s="23" t="s">
        <v>176</v>
      </c>
      <c r="D5"/>
      <c r="E5" s="39"/>
      <c r="F5" s="66"/>
      <c r="G5" s="74">
        <v>30</v>
      </c>
      <c r="H5" s="75"/>
      <c r="I5" s="74">
        <v>45</v>
      </c>
      <c r="J5" s="75"/>
      <c r="K5" s="74">
        <v>60</v>
      </c>
      <c r="L5" s="75"/>
      <c r="M5" s="74">
        <v>90</v>
      </c>
    </row>
    <row r="6" spans="3:13" x14ac:dyDescent="0.25">
      <c r="D6" t="s">
        <v>20</v>
      </c>
      <c r="E6" s="77">
        <v>18719.400000000001</v>
      </c>
      <c r="G6" s="79">
        <v>18719.400000000001</v>
      </c>
      <c r="H6" s="67"/>
      <c r="I6" s="79">
        <v>18719.400000000001</v>
      </c>
      <c r="J6" s="67"/>
      <c r="K6" s="79">
        <v>18719.400000000001</v>
      </c>
      <c r="L6" s="67"/>
      <c r="M6" s="79">
        <v>18719.400000000001</v>
      </c>
    </row>
    <row r="7" spans="3:13" x14ac:dyDescent="0.25">
      <c r="D7" t="s">
        <v>173</v>
      </c>
      <c r="E7" s="77">
        <v>3119.9</v>
      </c>
      <c r="G7" s="79">
        <v>3119.9</v>
      </c>
      <c r="H7" s="67"/>
      <c r="I7" s="79">
        <v>3119.9</v>
      </c>
      <c r="J7" s="67"/>
      <c r="K7" s="79">
        <v>3119.9</v>
      </c>
      <c r="L7" s="67"/>
      <c r="M7" s="79">
        <v>3119.9</v>
      </c>
    </row>
    <row r="8" spans="3:13" x14ac:dyDescent="0.25">
      <c r="D8" t="s">
        <v>209</v>
      </c>
      <c r="E8" s="77">
        <v>0</v>
      </c>
      <c r="G8" s="79">
        <v>0</v>
      </c>
      <c r="H8" s="67"/>
      <c r="I8" s="79">
        <v>0</v>
      </c>
      <c r="J8" s="67"/>
      <c r="K8" s="79">
        <v>0</v>
      </c>
      <c r="L8" s="67"/>
      <c r="M8" s="79">
        <v>0</v>
      </c>
    </row>
    <row r="9" spans="3:13" x14ac:dyDescent="0.25">
      <c r="D9" t="s">
        <v>174</v>
      </c>
      <c r="E9" s="77">
        <v>2183.9300000000003</v>
      </c>
      <c r="G9" s="79">
        <v>2183.9300000000003</v>
      </c>
      <c r="H9" s="67"/>
      <c r="I9" s="79">
        <v>2183.9300000000003</v>
      </c>
      <c r="J9" s="67"/>
      <c r="K9" s="79">
        <v>2183.9300000000003</v>
      </c>
      <c r="L9" s="67"/>
      <c r="M9" s="79">
        <v>2183.9300000000003</v>
      </c>
    </row>
    <row r="10" spans="3:13" x14ac:dyDescent="0.25">
      <c r="D10" t="s">
        <v>175</v>
      </c>
      <c r="E10" s="77">
        <v>2183.9300000000003</v>
      </c>
      <c r="G10" s="79">
        <v>2183.9300000000003</v>
      </c>
      <c r="H10" s="67"/>
      <c r="I10" s="79">
        <v>2183.9300000000003</v>
      </c>
      <c r="J10" s="67"/>
      <c r="K10" s="79">
        <v>2183.9300000000003</v>
      </c>
      <c r="L10" s="67"/>
      <c r="M10" s="79">
        <v>2183.9300000000003</v>
      </c>
    </row>
    <row r="11" spans="3:13" x14ac:dyDescent="0.25">
      <c r="D11" s="76" t="s">
        <v>30</v>
      </c>
      <c r="E11" s="78">
        <v>23960.831999999999</v>
      </c>
      <c r="F11" s="70"/>
      <c r="G11" s="78">
        <v>23960.831999999999</v>
      </c>
      <c r="H11" s="70"/>
      <c r="I11" s="78">
        <v>23960.831999999999</v>
      </c>
      <c r="J11" s="70"/>
      <c r="K11" s="78">
        <v>23960.831999999999</v>
      </c>
      <c r="L11" s="70"/>
      <c r="M11" s="78">
        <v>23960.831999999999</v>
      </c>
    </row>
    <row r="12" spans="3:13" x14ac:dyDescent="0.25">
      <c r="D12" s="37" t="s">
        <v>28</v>
      </c>
      <c r="E12" s="79">
        <v>107511.754</v>
      </c>
      <c r="F12" s="68"/>
      <c r="G12" s="85">
        <v>107511.754</v>
      </c>
      <c r="H12" s="69"/>
      <c r="I12" s="79">
        <v>107511.754</v>
      </c>
      <c r="J12" s="69"/>
      <c r="K12" s="79">
        <v>107511.754</v>
      </c>
      <c r="L12" s="69"/>
      <c r="M12" s="79">
        <v>107511.754</v>
      </c>
    </row>
    <row r="13" spans="3:13" x14ac:dyDescent="0.25">
      <c r="D13" s="37" t="s">
        <v>210</v>
      </c>
      <c r="E13" s="79">
        <v>37629.113899999997</v>
      </c>
      <c r="G13" s="79">
        <v>37629.113899999997</v>
      </c>
      <c r="H13" s="67"/>
      <c r="I13" s="79">
        <v>37629.113899999997</v>
      </c>
      <c r="J13" s="67"/>
      <c r="K13" s="79">
        <v>37629.113899999997</v>
      </c>
      <c r="L13" s="67"/>
      <c r="M13" s="79">
        <v>37629.113899999997</v>
      </c>
    </row>
    <row r="14" spans="3:13" x14ac:dyDescent="0.25">
      <c r="D14" s="37" t="s">
        <v>212</v>
      </c>
      <c r="E14" s="84">
        <v>0</v>
      </c>
      <c r="G14" s="84">
        <v>93597</v>
      </c>
      <c r="H14" s="67"/>
      <c r="I14" s="84">
        <v>140395.5</v>
      </c>
      <c r="J14" s="67"/>
      <c r="K14" s="84">
        <v>187194</v>
      </c>
      <c r="L14" s="67"/>
      <c r="M14" s="84">
        <v>280791</v>
      </c>
    </row>
    <row r="15" spans="3:13" x14ac:dyDescent="0.25">
      <c r="D15" s="23" t="s">
        <v>181</v>
      </c>
      <c r="E15" s="80">
        <f>SUM(E6:E14)</f>
        <v>195308.85989999998</v>
      </c>
      <c r="F15" s="68"/>
      <c r="G15" s="80">
        <f>SUM(G6:G14)</f>
        <v>288905.85989999998</v>
      </c>
      <c r="H15" s="69"/>
      <c r="I15" s="80">
        <f>SUM(I6:I14)</f>
        <v>335704.35989999998</v>
      </c>
      <c r="J15" s="69"/>
      <c r="K15" s="80">
        <f>SUM(K6:K14)</f>
        <v>382502.85989999998</v>
      </c>
      <c r="L15" s="69"/>
      <c r="M15" s="80">
        <f>SUM(M6:M14)</f>
        <v>476099.85989999998</v>
      </c>
    </row>
    <row r="16" spans="3:13" x14ac:dyDescent="0.25">
      <c r="E16" s="81"/>
      <c r="G16" s="86"/>
      <c r="H16" s="67"/>
      <c r="I16" s="86"/>
      <c r="J16" s="67"/>
      <c r="K16" s="86"/>
      <c r="L16" s="67"/>
      <c r="M16" s="86"/>
    </row>
    <row r="17" spans="3:13" x14ac:dyDescent="0.25">
      <c r="C17" s="23" t="s">
        <v>177</v>
      </c>
      <c r="E17" s="81"/>
      <c r="F17" s="63"/>
      <c r="G17" s="86"/>
      <c r="H17" s="67"/>
      <c r="I17" s="86"/>
      <c r="J17" s="67"/>
      <c r="K17" s="86"/>
      <c r="L17" s="67"/>
      <c r="M17" s="86"/>
    </row>
    <row r="18" spans="3:13" x14ac:dyDescent="0.25">
      <c r="D18" s="24" t="s">
        <v>141</v>
      </c>
      <c r="E18" s="77">
        <v>642.78849369863019</v>
      </c>
      <c r="F18" s="68"/>
      <c r="G18" s="85">
        <v>3240.1052436986311</v>
      </c>
      <c r="H18" s="69"/>
      <c r="I18" s="79">
        <v>4538.7636186986301</v>
      </c>
      <c r="J18" s="69"/>
      <c r="K18" s="79">
        <v>5837.4219936986301</v>
      </c>
      <c r="L18" s="69"/>
      <c r="M18" s="79">
        <v>8434.7387436986319</v>
      </c>
    </row>
    <row r="19" spans="3:13" x14ac:dyDescent="0.25">
      <c r="D19" s="24" t="s">
        <v>178</v>
      </c>
      <c r="E19" s="77">
        <v>113552.73000000001</v>
      </c>
      <c r="G19" s="79">
        <v>146311.67999999999</v>
      </c>
      <c r="H19" s="67"/>
      <c r="I19" s="79">
        <v>162691.15</v>
      </c>
      <c r="J19" s="67"/>
      <c r="K19" s="79">
        <v>179070.63</v>
      </c>
      <c r="L19" s="67"/>
      <c r="M19" s="79">
        <v>211829.58000000002</v>
      </c>
    </row>
    <row r="20" spans="3:13" x14ac:dyDescent="0.25">
      <c r="D20" s="24" t="s">
        <v>179</v>
      </c>
      <c r="E20" s="82"/>
      <c r="G20" s="82"/>
      <c r="H20" s="67"/>
      <c r="I20" s="82"/>
      <c r="J20" s="67"/>
      <c r="K20" s="82"/>
      <c r="L20" s="67"/>
      <c r="M20" s="82"/>
    </row>
    <row r="21" spans="3:13" x14ac:dyDescent="0.25">
      <c r="D21" s="24" t="s">
        <v>180</v>
      </c>
      <c r="E21" s="83">
        <f>SUM(E18:E20)</f>
        <v>114195.51849369865</v>
      </c>
      <c r="F21" s="71"/>
      <c r="G21" s="83">
        <f>SUM(G18:G20)</f>
        <v>149551.78524369863</v>
      </c>
      <c r="H21" s="72"/>
      <c r="I21" s="83">
        <f>SUM(I18:I20)</f>
        <v>167229.91361869863</v>
      </c>
      <c r="J21" s="72"/>
      <c r="K21" s="83">
        <f>SUM(K18:K20)</f>
        <v>184908.05199369864</v>
      </c>
      <c r="L21" s="72"/>
      <c r="M21" s="83">
        <f>SUM(M18:M20)</f>
        <v>220264.31874369865</v>
      </c>
    </row>
    <row r="22" spans="3:13" x14ac:dyDescent="0.25">
      <c r="E22" s="81"/>
      <c r="G22" s="86"/>
      <c r="H22" s="67"/>
      <c r="I22" s="86"/>
      <c r="J22" s="67"/>
      <c r="K22" s="86"/>
      <c r="L22" s="67"/>
      <c r="M22" s="86"/>
    </row>
    <row r="23" spans="3:13" x14ac:dyDescent="0.25">
      <c r="E23" s="81"/>
      <c r="G23" s="86"/>
      <c r="H23" s="67"/>
      <c r="I23" s="86"/>
      <c r="J23" s="67"/>
      <c r="K23" s="86"/>
      <c r="L23" s="67"/>
      <c r="M23" s="86"/>
    </row>
    <row r="24" spans="3:13" x14ac:dyDescent="0.25">
      <c r="D24" s="34" t="s">
        <v>182</v>
      </c>
      <c r="E24" s="59">
        <f>+E15-E21</f>
        <v>81113.341406301333</v>
      </c>
      <c r="F24" s="59"/>
      <c r="G24" s="59">
        <f>+G15-G21</f>
        <v>139354.07465630135</v>
      </c>
      <c r="H24" s="70"/>
      <c r="I24" s="59">
        <f>+I15-I21</f>
        <v>168474.44628130135</v>
      </c>
      <c r="J24" s="70"/>
      <c r="K24" s="59">
        <f>+K15-K21</f>
        <v>197594.80790630134</v>
      </c>
      <c r="L24" s="70"/>
      <c r="M24" s="59">
        <f>+M15-M21</f>
        <v>255835.54115630133</v>
      </c>
    </row>
    <row r="25" spans="3:13" x14ac:dyDescent="0.25">
      <c r="D25" s="37" t="s">
        <v>194</v>
      </c>
      <c r="E25" s="39">
        <v>200</v>
      </c>
      <c r="G25" s="63">
        <v>200</v>
      </c>
      <c r="H25" s="67"/>
      <c r="I25" s="63">
        <v>200</v>
      </c>
      <c r="J25" s="67"/>
      <c r="K25" s="63">
        <v>200</v>
      </c>
      <c r="L25" s="67"/>
      <c r="M25" s="63">
        <v>200</v>
      </c>
    </row>
    <row r="26" spans="3:13" x14ac:dyDescent="0.25">
      <c r="D26" s="60" t="s">
        <v>211</v>
      </c>
      <c r="E26" s="61">
        <f>+E24+E25</f>
        <v>81313.341406301333</v>
      </c>
      <c r="F26" s="61"/>
      <c r="G26" s="61">
        <f>+G24+G25</f>
        <v>139554.07465630135</v>
      </c>
      <c r="H26" s="73"/>
      <c r="I26" s="61">
        <f>+I24+I25</f>
        <v>168674.44628130135</v>
      </c>
      <c r="J26" s="73"/>
      <c r="K26" s="61">
        <f>+K24+K25</f>
        <v>197794.80790630134</v>
      </c>
      <c r="L26" s="73"/>
      <c r="M26" s="61">
        <f>+M24+M25</f>
        <v>256035.54115630133</v>
      </c>
    </row>
    <row r="27" spans="3:13" x14ac:dyDescent="0.25">
      <c r="C27" s="23" t="s">
        <v>184</v>
      </c>
      <c r="E27" s="81"/>
      <c r="F27" s="63"/>
      <c r="G27" s="86"/>
      <c r="H27" s="67"/>
      <c r="I27" s="86"/>
      <c r="J27" s="67"/>
      <c r="K27" s="86"/>
      <c r="L27" s="67"/>
      <c r="M27" s="86"/>
    </row>
    <row r="28" spans="3:13" x14ac:dyDescent="0.25">
      <c r="D28" s="24" t="s">
        <v>185</v>
      </c>
      <c r="E28" s="77">
        <v>1545.9187416438358</v>
      </c>
      <c r="F28" s="63"/>
      <c r="G28" s="79">
        <v>7255.3357416438375</v>
      </c>
      <c r="H28" s="67"/>
      <c r="I28" s="79">
        <v>10110.044241643836</v>
      </c>
      <c r="J28" s="67"/>
      <c r="K28" s="79">
        <v>12964.752741643835</v>
      </c>
      <c r="L28" s="67"/>
      <c r="M28" s="79">
        <v>18674.16974164384</v>
      </c>
    </row>
    <row r="29" spans="3:13" x14ac:dyDescent="0.25">
      <c r="D29" s="24" t="s">
        <v>170</v>
      </c>
      <c r="E29" s="77">
        <v>841.92500000000007</v>
      </c>
      <c r="F29" s="68"/>
      <c r="G29" s="87">
        <v>841.92500000000007</v>
      </c>
      <c r="H29" s="69"/>
      <c r="I29" s="79">
        <v>841.92500000000007</v>
      </c>
      <c r="J29" s="69"/>
      <c r="K29" s="79">
        <v>841.92500000000007</v>
      </c>
      <c r="L29" s="69"/>
      <c r="M29" s="79">
        <v>841.92500000000007</v>
      </c>
    </row>
    <row r="30" spans="3:13" x14ac:dyDescent="0.25">
      <c r="D30" s="24" t="s">
        <v>171</v>
      </c>
      <c r="E30" s="63">
        <v>1207.9227079452055</v>
      </c>
      <c r="G30" s="63">
        <v>6028.1682079452057</v>
      </c>
      <c r="H30" s="67"/>
      <c r="I30" s="63">
        <v>8438.2909579452062</v>
      </c>
      <c r="J30" s="67"/>
      <c r="K30" s="63">
        <v>10848.413707945205</v>
      </c>
      <c r="L30" s="67"/>
      <c r="M30" s="63">
        <v>15668.659207945206</v>
      </c>
    </row>
    <row r="31" spans="3:13" x14ac:dyDescent="0.25">
      <c r="D31" s="24" t="s">
        <v>172</v>
      </c>
      <c r="E31" s="84">
        <v>5859.2657969999991</v>
      </c>
      <c r="G31" s="84">
        <v>8667.1757969999999</v>
      </c>
      <c r="H31" s="67"/>
      <c r="I31" s="84">
        <v>10071.130797</v>
      </c>
      <c r="J31" s="67"/>
      <c r="K31" s="84">
        <v>11475.085797</v>
      </c>
      <c r="L31" s="67"/>
      <c r="M31" s="84">
        <v>14282.995797</v>
      </c>
    </row>
    <row r="32" spans="3:13" x14ac:dyDescent="0.25">
      <c r="D32" s="24" t="s">
        <v>186</v>
      </c>
      <c r="E32" s="80">
        <f>SUM(E28:E31)</f>
        <v>9455.0322465890404</v>
      </c>
      <c r="F32" s="68"/>
      <c r="G32" s="80">
        <f>SUM(G28:G31)</f>
        <v>22792.604746589044</v>
      </c>
      <c r="H32" s="69"/>
      <c r="I32" s="80">
        <f>SUM(I28:I31)</f>
        <v>29461.390996589042</v>
      </c>
      <c r="J32" s="69"/>
      <c r="K32" s="80">
        <f>SUM(K28:K31)</f>
        <v>36130.177246589039</v>
      </c>
      <c r="L32" s="69"/>
      <c r="M32" s="80">
        <f>SUM(M28:M31)</f>
        <v>49467.749746589048</v>
      </c>
    </row>
    <row r="33" spans="5:13" x14ac:dyDescent="0.25">
      <c r="G33" s="63"/>
      <c r="H33" s="67"/>
      <c r="I33" s="63"/>
      <c r="J33" s="67"/>
      <c r="K33" s="63"/>
      <c r="L33" s="67"/>
      <c r="M33" s="63"/>
    </row>
    <row r="34" spans="5:13" x14ac:dyDescent="0.25">
      <c r="E34" s="39">
        <f>+E15+E25+E32</f>
        <v>204963.89214658903</v>
      </c>
      <c r="G34" s="39">
        <f>+G15+G25+G32</f>
        <v>311898.46464658901</v>
      </c>
      <c r="H34" s="67"/>
      <c r="I34" s="39">
        <f>+I15+I25+I32</f>
        <v>365365.75089658902</v>
      </c>
      <c r="J34" s="67"/>
      <c r="K34" s="39">
        <f>+K15+K25+K32</f>
        <v>418833.03714658902</v>
      </c>
      <c r="L34" s="67"/>
      <c r="M34" s="39">
        <f>+M15+M25+M32</f>
        <v>525767.60964658903</v>
      </c>
    </row>
    <row r="38" spans="5:13" x14ac:dyDescent="0.25">
      <c r="I38" s="65"/>
      <c r="K38" s="65"/>
      <c r="M38" s="65">
        <f>+E15+E25+EFQ32</f>
        <v>195508.85989999998</v>
      </c>
    </row>
  </sheetData>
  <mergeCells count="1">
    <mergeCell ref="C3: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15A5-C702-4746-846D-FAA3728D351F}">
  <dimension ref="A3:I31"/>
  <sheetViews>
    <sheetView showGridLines="0" zoomScale="110" zoomScaleNormal="110" workbookViewId="0">
      <selection activeCell="H11" sqref="H11"/>
    </sheetView>
  </sheetViews>
  <sheetFormatPr defaultColWidth="11.44140625" defaultRowHeight="13.2" x14ac:dyDescent="0.25"/>
  <cols>
    <col min="2" max="2" width="15.44140625" bestFit="1" customWidth="1"/>
    <col min="4" max="4" width="4.6640625" customWidth="1"/>
    <col min="6" max="6" width="4" customWidth="1"/>
    <col min="8" max="8" width="4.109375" customWidth="1"/>
  </cols>
  <sheetData>
    <row r="3" spans="1:9" x14ac:dyDescent="0.25">
      <c r="F3" s="94"/>
      <c r="G3" s="95" t="s">
        <v>215</v>
      </c>
      <c r="H3" s="94"/>
      <c r="I3" s="94"/>
    </row>
    <row r="4" spans="1:9" x14ac:dyDescent="0.25">
      <c r="A4" s="23" t="s">
        <v>176</v>
      </c>
      <c r="F4" s="94"/>
    </row>
    <row r="5" spans="1:9" x14ac:dyDescent="0.25">
      <c r="B5" t="s">
        <v>20</v>
      </c>
      <c r="C5" s="32">
        <v>5136.42</v>
      </c>
      <c r="E5" s="32">
        <v>4179.54</v>
      </c>
      <c r="F5" s="94"/>
      <c r="G5" s="32">
        <v>5331</v>
      </c>
      <c r="I5" s="88">
        <v>4368</v>
      </c>
    </row>
    <row r="6" spans="1:9" x14ac:dyDescent="0.25">
      <c r="B6" t="s">
        <v>173</v>
      </c>
      <c r="C6" s="32">
        <v>856.07</v>
      </c>
      <c r="E6" s="32">
        <v>696.59</v>
      </c>
      <c r="F6" s="94"/>
      <c r="G6" s="32">
        <v>888.5</v>
      </c>
      <c r="I6" s="88">
        <v>728</v>
      </c>
    </row>
    <row r="7" spans="1:9" x14ac:dyDescent="0.25">
      <c r="B7" t="s">
        <v>209</v>
      </c>
      <c r="C7" s="32">
        <v>0</v>
      </c>
      <c r="E7" s="32">
        <v>0</v>
      </c>
      <c r="F7" s="94"/>
      <c r="G7" s="32">
        <v>0</v>
      </c>
      <c r="I7" s="88" t="s">
        <v>213</v>
      </c>
    </row>
    <row r="8" spans="1:9" x14ac:dyDescent="0.25">
      <c r="B8" t="s">
        <v>174</v>
      </c>
      <c r="C8" s="32">
        <v>599.24900000000002</v>
      </c>
      <c r="E8" s="32">
        <v>487.61300000000006</v>
      </c>
      <c r="F8" s="94"/>
      <c r="G8" s="32">
        <v>621.95000000000005</v>
      </c>
      <c r="I8" s="88">
        <v>509.6</v>
      </c>
    </row>
    <row r="9" spans="1:9" x14ac:dyDescent="0.25">
      <c r="B9" s="2" t="s">
        <v>175</v>
      </c>
      <c r="C9" s="33">
        <v>599.24900000000002</v>
      </c>
      <c r="E9" s="33">
        <v>487.61300000000006</v>
      </c>
      <c r="F9" s="94"/>
      <c r="G9" s="33">
        <v>621.95000000000005</v>
      </c>
      <c r="I9" s="89">
        <v>509.6</v>
      </c>
    </row>
    <row r="10" spans="1:9" x14ac:dyDescent="0.25">
      <c r="B10" s="24" t="s">
        <v>181</v>
      </c>
      <c r="C10" s="36">
        <v>7190.9879999999994</v>
      </c>
      <c r="E10" s="36">
        <v>5851.3560000000007</v>
      </c>
      <c r="F10" s="94"/>
      <c r="G10" s="36">
        <v>7463.4</v>
      </c>
      <c r="I10" s="36">
        <v>6115.2</v>
      </c>
    </row>
    <row r="11" spans="1:9" x14ac:dyDescent="0.25">
      <c r="F11" s="94"/>
      <c r="I11" s="37"/>
    </row>
    <row r="12" spans="1:9" x14ac:dyDescent="0.25">
      <c r="A12" s="23" t="s">
        <v>177</v>
      </c>
      <c r="F12" s="94"/>
      <c r="I12" s="37"/>
    </row>
    <row r="13" spans="1:9" x14ac:dyDescent="0.25">
      <c r="B13" s="24" t="s">
        <v>141</v>
      </c>
      <c r="C13" s="32">
        <v>165.72640889383564</v>
      </c>
      <c r="E13" s="32">
        <v>133.34699879794522</v>
      </c>
      <c r="F13" s="94"/>
      <c r="G13" s="32">
        <v>172.31070955479456</v>
      </c>
      <c r="I13" s="88">
        <v>139.72</v>
      </c>
    </row>
    <row r="14" spans="1:9" x14ac:dyDescent="0.25">
      <c r="B14" s="24" t="s">
        <v>178</v>
      </c>
      <c r="C14" s="32">
        <v>1225.24</v>
      </c>
      <c r="E14" s="32">
        <v>918</v>
      </c>
      <c r="F14" s="94"/>
      <c r="G14" s="32">
        <v>1289.31</v>
      </c>
      <c r="I14" s="88">
        <v>974.36</v>
      </c>
    </row>
    <row r="15" spans="1:9" x14ac:dyDescent="0.25">
      <c r="B15" s="24" t="s">
        <v>179</v>
      </c>
      <c r="C15" s="2"/>
      <c r="E15" s="2"/>
      <c r="F15" s="94"/>
      <c r="G15" s="2"/>
      <c r="I15" s="90"/>
    </row>
    <row r="16" spans="1:9" x14ac:dyDescent="0.25">
      <c r="B16" s="24" t="s">
        <v>180</v>
      </c>
      <c r="C16" s="36">
        <v>1390.9664088938357</v>
      </c>
      <c r="E16" s="36">
        <v>1051.3469987979452</v>
      </c>
      <c r="F16" s="94"/>
      <c r="G16" s="36">
        <v>1461.6207095547945</v>
      </c>
      <c r="I16" s="36">
        <v>1114.08</v>
      </c>
    </row>
    <row r="17" spans="1:9" x14ac:dyDescent="0.25">
      <c r="F17" s="94"/>
      <c r="I17" s="37"/>
    </row>
    <row r="18" spans="1:9" x14ac:dyDescent="0.25">
      <c r="F18" s="94"/>
      <c r="I18" s="37"/>
    </row>
    <row r="19" spans="1:9" x14ac:dyDescent="0.25">
      <c r="B19" s="34" t="s">
        <v>182</v>
      </c>
      <c r="C19" s="59">
        <v>5800.0215911061641</v>
      </c>
      <c r="E19" s="59">
        <v>4800.0090012020555</v>
      </c>
      <c r="F19" s="94"/>
      <c r="G19" s="59">
        <v>6001.7792904452053</v>
      </c>
      <c r="I19" s="91">
        <v>5001.12</v>
      </c>
    </row>
    <row r="20" spans="1:9" x14ac:dyDescent="0.25">
      <c r="B20" s="37" t="s">
        <v>194</v>
      </c>
      <c r="C20" s="39">
        <v>200</v>
      </c>
      <c r="E20" s="39">
        <v>200</v>
      </c>
      <c r="F20" s="94"/>
      <c r="G20" s="39">
        <v>0</v>
      </c>
      <c r="I20" s="92" t="s">
        <v>214</v>
      </c>
    </row>
    <row r="21" spans="1:9" x14ac:dyDescent="0.25">
      <c r="B21" s="60" t="s">
        <v>211</v>
      </c>
      <c r="C21" s="61">
        <v>6000.0215911061641</v>
      </c>
      <c r="E21" s="61">
        <v>5000.0090012020555</v>
      </c>
      <c r="F21" s="94"/>
      <c r="G21" s="61">
        <v>6001.7792904452053</v>
      </c>
      <c r="I21" s="93">
        <v>5001.12</v>
      </c>
    </row>
    <row r="22" spans="1:9" x14ac:dyDescent="0.25">
      <c r="A22" s="23" t="s">
        <v>184</v>
      </c>
      <c r="F22" s="94"/>
      <c r="I22" s="37"/>
    </row>
    <row r="23" spans="1:9" x14ac:dyDescent="0.25">
      <c r="B23" s="24" t="s">
        <v>185</v>
      </c>
      <c r="C23" s="32">
        <v>497.24172639726038</v>
      </c>
      <c r="E23" s="32">
        <v>426.06536546575342</v>
      </c>
      <c r="F23" s="94"/>
      <c r="G23" s="32">
        <v>511.71532424657551</v>
      </c>
      <c r="I23" s="88">
        <v>440.08</v>
      </c>
    </row>
    <row r="24" spans="1:9" x14ac:dyDescent="0.25">
      <c r="B24" s="24" t="s">
        <v>170</v>
      </c>
      <c r="C24" s="32">
        <v>313.16916917808226</v>
      </c>
      <c r="E24" s="32">
        <v>254.82788972602742</v>
      </c>
      <c r="F24" s="94"/>
      <c r="G24" s="32">
        <v>325.0327739726028</v>
      </c>
      <c r="I24" s="88">
        <v>266.32</v>
      </c>
    </row>
    <row r="25" spans="1:9" x14ac:dyDescent="0.25">
      <c r="B25" s="24" t="s">
        <v>171</v>
      </c>
      <c r="C25" s="35">
        <v>322.5642442534247</v>
      </c>
      <c r="E25" s="35">
        <v>262.47272641780825</v>
      </c>
      <c r="F25" s="94"/>
      <c r="G25" s="35">
        <v>334.78375719178086</v>
      </c>
      <c r="I25" s="92">
        <v>274.31</v>
      </c>
    </row>
    <row r="26" spans="1:9" x14ac:dyDescent="0.25">
      <c r="B26" s="24" t="s">
        <v>172</v>
      </c>
      <c r="C26" s="33">
        <v>215.72963999999996</v>
      </c>
      <c r="E26" s="33">
        <v>175.54068000000001</v>
      </c>
      <c r="F26" s="94"/>
      <c r="G26" s="33">
        <v>223.90199999999999</v>
      </c>
      <c r="I26" s="89">
        <v>183.46</v>
      </c>
    </row>
    <row r="27" spans="1:9" x14ac:dyDescent="0.25">
      <c r="B27" s="24" t="s">
        <v>186</v>
      </c>
      <c r="C27" s="36">
        <v>1348.7047798287674</v>
      </c>
      <c r="E27" s="36">
        <v>1118.906661609589</v>
      </c>
      <c r="F27" s="94"/>
      <c r="G27" s="36">
        <v>1395.433855410959</v>
      </c>
      <c r="I27" s="36">
        <v>1164.17</v>
      </c>
    </row>
    <row r="28" spans="1:9" x14ac:dyDescent="0.25">
      <c r="F28" s="94"/>
      <c r="I28" s="37"/>
    </row>
    <row r="29" spans="1:9" x14ac:dyDescent="0.25">
      <c r="C29" s="36">
        <v>8539.692779828767</v>
      </c>
      <c r="E29" s="36">
        <v>6970.2626616095895</v>
      </c>
      <c r="F29" s="94"/>
      <c r="G29" s="36">
        <v>8858.8338554109578</v>
      </c>
      <c r="I29" s="36">
        <v>7279.37</v>
      </c>
    </row>
    <row r="30" spans="1:9" x14ac:dyDescent="0.25">
      <c r="F30" s="94"/>
    </row>
    <row r="31" spans="1:9" x14ac:dyDescent="0.25">
      <c r="C31" s="39">
        <f>+C21*4</f>
        <v>24000.086364424656</v>
      </c>
      <c r="E31" s="39">
        <f>+E21*4</f>
        <v>20000.036004808222</v>
      </c>
      <c r="F31" s="94"/>
      <c r="G31" s="39">
        <f>+G21*4</f>
        <v>24007.117161780821</v>
      </c>
      <c r="I31" s="39">
        <f>+I21*4</f>
        <v>20004.48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99FD-A187-499D-AF8F-27B76E0BDB71}">
  <dimension ref="A1:B3"/>
  <sheetViews>
    <sheetView workbookViewId="0">
      <selection activeCell="H11" sqref="H11"/>
    </sheetView>
  </sheetViews>
  <sheetFormatPr defaultColWidth="8.88671875" defaultRowHeight="13.2" x14ac:dyDescent="0.25"/>
  <cols>
    <col min="1" max="1" width="9.33203125" bestFit="1" customWidth="1"/>
  </cols>
  <sheetData>
    <row r="1" spans="1:2" x14ac:dyDescent="0.25">
      <c r="A1" t="s">
        <v>243</v>
      </c>
    </row>
    <row r="2" spans="1:2" x14ac:dyDescent="0.25">
      <c r="A2" s="46">
        <v>6.5887500000000002E-2</v>
      </c>
      <c r="B2" t="s">
        <v>244</v>
      </c>
    </row>
    <row r="3" spans="1:2" x14ac:dyDescent="0.25">
      <c r="A3">
        <v>2.5</v>
      </c>
      <c r="B3" t="s">
        <v>245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8AF2-114D-4A3F-A969-0A375918D3FF}">
  <dimension ref="B3:I29"/>
  <sheetViews>
    <sheetView workbookViewId="0">
      <selection activeCell="H11" sqref="H11"/>
    </sheetView>
  </sheetViews>
  <sheetFormatPr defaultColWidth="8.88671875" defaultRowHeight="13.2" x14ac:dyDescent="0.25"/>
  <cols>
    <col min="2" max="2" width="17" bestFit="1" customWidth="1"/>
    <col min="3" max="3" width="16.109375" bestFit="1" customWidth="1"/>
    <col min="4" max="4" width="11.44140625" bestFit="1" customWidth="1"/>
    <col min="7" max="7" width="17" bestFit="1" customWidth="1"/>
    <col min="8" max="8" width="16.109375" bestFit="1" customWidth="1"/>
    <col min="9" max="9" width="11.44140625" bestFit="1" customWidth="1"/>
  </cols>
  <sheetData>
    <row r="3" spans="2:9" x14ac:dyDescent="0.25">
      <c r="B3" s="335" t="s">
        <v>183</v>
      </c>
      <c r="C3" s="335"/>
      <c r="D3" s="335"/>
      <c r="G3" s="335" t="s">
        <v>183</v>
      </c>
      <c r="H3" s="335"/>
      <c r="I3" s="335"/>
    </row>
    <row r="5" spans="2:9" x14ac:dyDescent="0.25">
      <c r="B5" s="23" t="s">
        <v>176</v>
      </c>
      <c r="G5" s="23" t="s">
        <v>176</v>
      </c>
    </row>
    <row r="6" spans="2:9" x14ac:dyDescent="0.25">
      <c r="C6" t="s">
        <v>20</v>
      </c>
      <c r="D6" s="32">
        <v>13518.66</v>
      </c>
      <c r="H6" t="s">
        <v>20</v>
      </c>
      <c r="I6" s="32">
        <v>13518.66</v>
      </c>
    </row>
    <row r="7" spans="2:9" x14ac:dyDescent="0.25">
      <c r="C7" t="s">
        <v>173</v>
      </c>
      <c r="D7" s="32">
        <v>2253.11</v>
      </c>
      <c r="H7" t="s">
        <v>173</v>
      </c>
      <c r="I7" s="32">
        <v>2253.11</v>
      </c>
    </row>
    <row r="8" spans="2:9" x14ac:dyDescent="0.25">
      <c r="C8" t="s">
        <v>174</v>
      </c>
      <c r="D8" s="32">
        <v>1577.1770000000001</v>
      </c>
      <c r="H8" t="s">
        <v>174</v>
      </c>
      <c r="I8" s="32">
        <v>1577.1770000000001</v>
      </c>
    </row>
    <row r="9" spans="2:9" x14ac:dyDescent="0.25">
      <c r="C9" t="s">
        <v>175</v>
      </c>
      <c r="D9" s="32">
        <v>1577.1770000000001</v>
      </c>
      <c r="H9" t="s">
        <v>175</v>
      </c>
      <c r="I9" s="32">
        <v>1577.1770000000001</v>
      </c>
    </row>
    <row r="10" spans="2:9" x14ac:dyDescent="0.25">
      <c r="C10" s="111" t="s">
        <v>181</v>
      </c>
      <c r="D10" s="112">
        <v>18926.124</v>
      </c>
      <c r="H10" s="111" t="s">
        <v>181</v>
      </c>
      <c r="I10" s="112">
        <v>18926.124</v>
      </c>
    </row>
    <row r="12" spans="2:9" x14ac:dyDescent="0.25">
      <c r="B12" s="23" t="s">
        <v>177</v>
      </c>
      <c r="G12" s="23" t="s">
        <v>177</v>
      </c>
    </row>
    <row r="13" spans="2:9" x14ac:dyDescent="0.25">
      <c r="C13" s="24" t="s">
        <v>141</v>
      </c>
      <c r="D13" s="32">
        <v>450.53601671917818</v>
      </c>
      <c r="H13" s="24" t="s">
        <v>141</v>
      </c>
      <c r="I13" s="32">
        <v>450.53601671917818</v>
      </c>
    </row>
    <row r="14" spans="2:9" x14ac:dyDescent="0.25">
      <c r="C14" s="24" t="s">
        <v>178</v>
      </c>
      <c r="D14" s="32">
        <v>4403.79</v>
      </c>
      <c r="H14" s="24" t="s">
        <v>178</v>
      </c>
      <c r="I14" s="32">
        <v>4403.79</v>
      </c>
    </row>
    <row r="15" spans="2:9" x14ac:dyDescent="0.25">
      <c r="C15" s="24" t="s">
        <v>179</v>
      </c>
      <c r="D15" s="2">
        <v>0</v>
      </c>
      <c r="H15" s="24" t="s">
        <v>179</v>
      </c>
      <c r="I15" s="2">
        <v>0</v>
      </c>
    </row>
    <row r="16" spans="2:9" x14ac:dyDescent="0.25">
      <c r="C16" s="24" t="s">
        <v>180</v>
      </c>
      <c r="D16" s="36">
        <v>4854.3260167191784</v>
      </c>
      <c r="H16" s="24" t="s">
        <v>180</v>
      </c>
      <c r="I16" s="36">
        <v>4854.3260167191784</v>
      </c>
    </row>
    <row r="19" spans="2:9" x14ac:dyDescent="0.25">
      <c r="C19" s="34" t="s">
        <v>182</v>
      </c>
      <c r="D19" s="59">
        <v>14071.797983280821</v>
      </c>
      <c r="H19" s="34" t="s">
        <v>182</v>
      </c>
      <c r="I19" s="59">
        <v>14071.797983280821</v>
      </c>
    </row>
    <row r="20" spans="2:9" x14ac:dyDescent="0.25">
      <c r="C20" s="37" t="s">
        <v>194</v>
      </c>
      <c r="D20" s="39">
        <v>200</v>
      </c>
      <c r="H20" s="37" t="s">
        <v>194</v>
      </c>
      <c r="I20" s="39">
        <v>200</v>
      </c>
    </row>
    <row r="21" spans="2:9" x14ac:dyDescent="0.25">
      <c r="C21" s="60" t="s">
        <v>211</v>
      </c>
      <c r="D21" s="61">
        <v>14271.797983280821</v>
      </c>
      <c r="H21" s="60" t="s">
        <v>211</v>
      </c>
      <c r="I21" s="61">
        <v>14271.797983280821</v>
      </c>
    </row>
    <row r="22" spans="2:9" x14ac:dyDescent="0.25">
      <c r="B22" s="23" t="s">
        <v>184</v>
      </c>
      <c r="G22" s="23" t="s">
        <v>184</v>
      </c>
    </row>
    <row r="23" spans="2:9" x14ac:dyDescent="0.25">
      <c r="C23" s="24" t="s">
        <v>185</v>
      </c>
      <c r="D23" s="32">
        <v>1464.6908093424661</v>
      </c>
      <c r="H23" s="24" t="s">
        <v>185</v>
      </c>
      <c r="I23" s="32">
        <v>1464.6908093424661</v>
      </c>
    </row>
    <row r="24" spans="2:9" x14ac:dyDescent="0.25">
      <c r="C24" s="24" t="s">
        <v>170</v>
      </c>
      <c r="D24" s="32">
        <v>827.47779589041113</v>
      </c>
      <c r="H24" s="24" t="s">
        <v>170</v>
      </c>
      <c r="I24" s="32">
        <v>827.47779589041113</v>
      </c>
    </row>
    <row r="25" spans="2:9" x14ac:dyDescent="0.25">
      <c r="C25" s="24" t="s">
        <v>171</v>
      </c>
      <c r="D25" s="35">
        <v>1032.8577848304112</v>
      </c>
      <c r="H25" s="24" t="s">
        <v>171</v>
      </c>
      <c r="I25" s="35">
        <v>1032.8577848304112</v>
      </c>
    </row>
    <row r="26" spans="2:9" x14ac:dyDescent="0.25">
      <c r="C26" s="24" t="s">
        <v>172</v>
      </c>
      <c r="D26" s="33">
        <v>866.8164792</v>
      </c>
      <c r="H26" s="24" t="s">
        <v>172</v>
      </c>
      <c r="I26" s="33">
        <v>866.8164792</v>
      </c>
    </row>
    <row r="27" spans="2:9" x14ac:dyDescent="0.25">
      <c r="C27" s="24" t="s">
        <v>186</v>
      </c>
      <c r="D27" s="36">
        <v>4191.8428692632888</v>
      </c>
      <c r="H27" s="24" t="s">
        <v>186</v>
      </c>
      <c r="I27" s="36">
        <v>4191.8428692632888</v>
      </c>
    </row>
    <row r="29" spans="2:9" x14ac:dyDescent="0.25">
      <c r="C29" s="37" t="s">
        <v>216</v>
      </c>
      <c r="D29" s="36">
        <v>23317.966869263288</v>
      </c>
      <c r="H29" s="37" t="s">
        <v>216</v>
      </c>
      <c r="I29" s="36">
        <v>23317.966869263288</v>
      </c>
    </row>
  </sheetData>
  <mergeCells count="2">
    <mergeCell ref="B3:D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Tablas</vt:lpstr>
      <vt:lpstr>Calculo</vt:lpstr>
      <vt:lpstr>Hoja1</vt:lpstr>
      <vt:lpstr>IMSS Calculo</vt:lpstr>
      <vt:lpstr>2021</vt:lpstr>
      <vt:lpstr>Simulacion</vt:lpstr>
      <vt:lpstr>Sheet5</vt:lpstr>
      <vt:lpstr>Sheet1</vt:lpstr>
      <vt:lpstr>Sheet2</vt:lpstr>
      <vt:lpstr>Sheet3</vt:lpstr>
      <vt:lpstr>33 Hilos </vt:lpstr>
      <vt:lpstr>Calculo!Print_Area</vt:lpstr>
      <vt:lpstr>'IMSS Calculo'!Print_Area</vt:lpstr>
      <vt:lpstr>Simulacion!Print_Area</vt:lpstr>
    </vt:vector>
  </TitlesOfParts>
  <Company>GTI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Nominax</dc:title>
  <dc:subject>Nominax</dc:subject>
  <dc:creator>Nominax</dc:creator>
  <cp:lastModifiedBy>Yolanda Martinez</cp:lastModifiedBy>
  <cp:lastPrinted>2020-11-30T20:04:32Z</cp:lastPrinted>
  <dcterms:created xsi:type="dcterms:W3CDTF">2009-09-10T17:23:06Z</dcterms:created>
  <dcterms:modified xsi:type="dcterms:W3CDTF">2026-08-13T21:33:22Z</dcterms:modified>
</cp:coreProperties>
</file>