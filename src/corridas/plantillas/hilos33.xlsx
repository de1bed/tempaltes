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chitlvargas/Desktop/"/>
    </mc:Choice>
  </mc:AlternateContent>
  <xr:revisionPtr revIDLastSave="0" documentId="13_ncr:1_{84653F34-9B54-414E-9C1A-BB9D43F496F7}" xr6:coauthVersionLast="47" xr6:coauthVersionMax="47" xr10:uidLastSave="{00000000-0000-0000-0000-000000000000}"/>
  <bookViews>
    <workbookView xWindow="-23480" yWindow="820" windowWidth="22040" windowHeight="12220" xr2:uid="{6781265C-9A9C-524D-9CF3-DC483802716D}"/>
  </bookViews>
  <sheets>
    <sheet name="33 Hilos " sheetId="1" r:id="rId1"/>
  </sheets>
  <externalReferences>
    <externalReference r:id="rId2"/>
    <externalReference r:id="rId3"/>
  </externalReferences>
  <definedNames>
    <definedName name="Bruto">#REF!</definedName>
    <definedName name="Categorias">OFFSET([1]Configuracion!$C$5, 0, 0, COUNTA([1]Configuracion!$C:$C) - 1)</definedName>
    <definedName name="Diario">#REF!</definedName>
    <definedName name="DiasCategorias">[1]Diario!$F$2:$F$366</definedName>
    <definedName name="FechaInicio">[1]Completo!$B$1</definedName>
    <definedName name="IDCategorias">OFFSET([1]Configuracion!$B$5, 0, 0, COUNTA([1]Configuracion!$B:$B) - 1)</definedName>
    <definedName name="RangoCompleto">[1]Completo!$B$5:$H$10,[1]Completo!$J$5:$P$10,[1]Completo!$R$5:$X$10,[1]Completo!$B$14:$H$19,[1]Completo!$J$14:$P$19,[1]Completo!$R$14:$X$19,[1]Completo!$B$23:$H$28,[1]Completo!$J$23:$P$28,[1]Completo!$R$23:$X$28,[1]Completo!$B$32:$H$37,[1]Completo!$J$32:$P$37,[1]Completo!$R$32:$X$37</definedName>
    <definedName name="RangoMensual">[2]Mensual!$B$5:$H$16,[2]Mensual!$B$20:$H$31,[2]Mensual!$B$35:$H$46,[2]Mensual!$B$50:$H$61,[2]Mensual!$B$65:$H$76,[2]Mensual!$B$80:$H$91,[2]Mensual!$B$95:$H$106,[2]Mensual!$B$110:$H$121,[2]Mensual!$B$125:$H$136,[2]Mensual!$B$140:$H$151,[2]Mensual!$B$155:$H$166,[2]Mensual!$B$170:$H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M3" i="1" s="1"/>
  <c r="F27" i="1"/>
  <c r="L3" i="1" s="1"/>
  <c r="F16" i="1"/>
  <c r="F10" i="1"/>
  <c r="K3" i="1" s="1"/>
  <c r="O3" i="1" l="1"/>
  <c r="Q3" i="1" s="1"/>
  <c r="F18" i="1"/>
  <c r="F20" i="1" s="1"/>
  <c r="J3" i="1" s="1"/>
  <c r="F32" i="1"/>
  <c r="F33" i="1" l="1"/>
  <c r="F34" i="1" s="1"/>
</calcChain>
</file>

<file path=xl/sharedStrings.xml><?xml version="1.0" encoding="utf-8"?>
<sst xmlns="http://schemas.openxmlformats.org/spreadsheetml/2006/main" count="38" uniqueCount="36">
  <si>
    <t>c</t>
  </si>
  <si>
    <t>POSITION</t>
  </si>
  <si>
    <t>NET WEEKLY SALARY</t>
  </si>
  <si>
    <t>GROSS WEEKLY SALARY</t>
  </si>
  <si>
    <t>EMPLOYER CONTRIBUTIONS</t>
  </si>
  <si>
    <t>TERMINATION PROVITION</t>
  </si>
  <si>
    <t>ADMINISTRATIVE COSTS</t>
  </si>
  <si>
    <t>TOTAL BASE</t>
  </si>
  <si>
    <t>% OR FERVICE</t>
  </si>
  <si>
    <t>TOTAL BILL</t>
  </si>
  <si>
    <t>Inside Sales Representative</t>
  </si>
  <si>
    <t>Salary and Bonuses</t>
  </si>
  <si>
    <t>Ordinary Salary</t>
  </si>
  <si>
    <t>Seventh Day</t>
  </si>
  <si>
    <t>Punctuality Bonus</t>
  </si>
  <si>
    <t>Attendance bonus</t>
  </si>
  <si>
    <t>Weekly Gross Salary</t>
  </si>
  <si>
    <t>Employee Deductions</t>
  </si>
  <si>
    <t>IMSS (Housing Fund)</t>
  </si>
  <si>
    <t>ISPT (Tax Worker)</t>
  </si>
  <si>
    <t xml:space="preserve"> Currency Adjustments</t>
  </si>
  <si>
    <t xml:space="preserve"> Weekly Net Salary</t>
  </si>
  <si>
    <t>Sodexo</t>
  </si>
  <si>
    <t>Employer Contributions</t>
  </si>
  <si>
    <t>IMSS (Company tax)</t>
  </si>
  <si>
    <t xml:space="preserve">Infonavit </t>
  </si>
  <si>
    <t>Retirement</t>
  </si>
  <si>
    <t>State Tax</t>
  </si>
  <si>
    <t>Total Taxes</t>
  </si>
  <si>
    <t xml:space="preserve">Termination Provision </t>
  </si>
  <si>
    <t>Operating and Administrative Costs</t>
  </si>
  <si>
    <t>Invoice</t>
  </si>
  <si>
    <t>Total Base</t>
  </si>
  <si>
    <t xml:space="preserve">Service cost </t>
  </si>
  <si>
    <t>Weekly invoice (+ TAX)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</si>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</sst>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Calibri Bold"/>
    </font>
    <font>
      <b/>
      <sz val="12"/>
      <color theme="0"/>
      <name val="Aptos Display"/>
      <family val="2"/>
      <scheme val="major"/>
    </font>
    <font>
      <b/>
      <sz val="11.5"/>
      <color theme="1"/>
      <name val="Calibri Bold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FF000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4" fontId="5" fillId="0" borderId="1" xfId="1" applyFont="1" applyBorder="1" applyAlignment="1">
      <alignment horizontal="center" vertical="center" wrapText="1"/>
    </xf>
    <xf numFmtId="10" fontId="5" fillId="0" borderId="1" xfId="2" applyNumberFormat="1" applyFont="1" applyBorder="1" applyAlignment="1">
      <alignment horizontal="center" vertical="center" wrapText="1"/>
    </xf>
    <xf numFmtId="0" fontId="7" fillId="3" borderId="5" xfId="0" applyFont="1" applyFill="1" applyBorder="1"/>
    <xf numFmtId="0" fontId="6" fillId="3" borderId="0" xfId="0" applyFont="1" applyFill="1"/>
    <xf numFmtId="44" fontId="6" fillId="3" borderId="0" xfId="1" applyFont="1" applyFill="1" applyBorder="1"/>
    <xf numFmtId="0" fontId="6" fillId="3" borderId="0" xfId="0" applyFont="1" applyFill="1" applyAlignment="1">
      <alignment horizontal="center" vertical="top"/>
    </xf>
    <xf numFmtId="0" fontId="7" fillId="3" borderId="6" xfId="0" applyFont="1" applyFill="1" applyBorder="1"/>
    <xf numFmtId="0" fontId="2" fillId="3" borderId="0" xfId="0" applyFont="1" applyFill="1"/>
    <xf numFmtId="0" fontId="7" fillId="3" borderId="0" xfId="0" applyFont="1" applyFill="1"/>
    <xf numFmtId="164" fontId="0" fillId="0" borderId="0" xfId="0" applyNumberFormat="1"/>
    <xf numFmtId="164" fontId="0" fillId="0" borderId="7" xfId="0" applyNumberFormat="1" applyBorder="1"/>
    <xf numFmtId="0" fontId="6" fillId="3" borderId="0" xfId="0" applyFont="1" applyFill="1" applyAlignment="1">
      <alignment horizontal="right"/>
    </xf>
    <xf numFmtId="44" fontId="6" fillId="3" borderId="0" xfId="1" applyFont="1" applyFill="1" applyBorder="1" applyAlignment="1">
      <alignment horizontal="left"/>
    </xf>
    <xf numFmtId="0" fontId="7" fillId="3" borderId="0" xfId="0" applyFont="1" applyFill="1" applyAlignment="1">
      <alignment horizontal="right"/>
    </xf>
    <xf numFmtId="44" fontId="7" fillId="3" borderId="0" xfId="1" applyFont="1" applyFill="1" applyBorder="1"/>
    <xf numFmtId="0" fontId="8" fillId="3" borderId="0" xfId="0" applyFont="1" applyFill="1"/>
    <xf numFmtId="164" fontId="2" fillId="3" borderId="0" xfId="0" applyNumberFormat="1" applyFont="1" applyFill="1"/>
    <xf numFmtId="0" fontId="7" fillId="3" borderId="0" xfId="0" applyFont="1" applyFill="1" applyAlignment="1">
      <alignment horizontal="left"/>
    </xf>
    <xf numFmtId="164" fontId="2" fillId="3" borderId="7" xfId="0" applyNumberFormat="1" applyFont="1" applyFill="1" applyBorder="1"/>
    <xf numFmtId="44" fontId="6" fillId="3" borderId="0" xfId="1" applyFont="1" applyFill="1" applyBorder="1" applyProtection="1">
      <protection locked="0"/>
    </xf>
    <xf numFmtId="44" fontId="6" fillId="3" borderId="0" xfId="0" applyNumberFormat="1" applyFont="1" applyFill="1"/>
    <xf numFmtId="44" fontId="7" fillId="3" borderId="7" xfId="0" applyNumberFormat="1" applyFont="1" applyFill="1" applyBorder="1"/>
    <xf numFmtId="0" fontId="6" fillId="4" borderId="0" xfId="0" applyFont="1" applyFill="1"/>
    <xf numFmtId="0" fontId="6" fillId="4" borderId="0" xfId="0" applyFont="1" applyFill="1" applyAlignment="1">
      <alignment horizontal="right"/>
    </xf>
    <xf numFmtId="44" fontId="6" fillId="4" borderId="0" xfId="0" applyNumberFormat="1" applyFont="1" applyFill="1"/>
    <xf numFmtId="44" fontId="6" fillId="3" borderId="0" xfId="1" applyFont="1" applyFill="1" applyBorder="1" applyAlignment="1">
      <alignment horizontal="righ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165" fontId="0" fillId="0" borderId="0" xfId="0" applyNumberFormat="1"/>
    <xf numFmtId="44" fontId="2" fillId="0" borderId="0" xfId="0" applyNumberFormat="1" applyFont="1"/>
    <xf numFmtId="44" fontId="7" fillId="3" borderId="0" xfId="0" applyNumberFormat="1" applyFont="1" applyFill="1"/>
    <xf numFmtId="10" fontId="9" fillId="3" borderId="0" xfId="0" applyNumberFormat="1" applyFont="1" applyFill="1" applyProtection="1">
      <protection locked="0"/>
    </xf>
    <xf numFmtId="44" fontId="6" fillId="3" borderId="1" xfId="0" applyNumberFormat="1" applyFont="1" applyFill="1" applyBorder="1"/>
    <xf numFmtId="0" fontId="7" fillId="3" borderId="8" xfId="0" applyFont="1" applyFill="1" applyBorder="1"/>
    <xf numFmtId="0" fontId="6" fillId="3" borderId="7" xfId="0" applyFont="1" applyFill="1" applyBorder="1"/>
    <xf numFmtId="0" fontId="7" fillId="3" borderId="7" xfId="0" applyFont="1" applyFill="1" applyBorder="1"/>
    <xf numFmtId="0" fontId="7" fillId="3" borderId="9" xfId="0" applyFont="1" applyFill="1" applyBorder="1"/>
    <xf numFmtId="166" fontId="2" fillId="0" borderId="0" xfId="2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7" fillId="3" borderId="0" xfId="0" applyFont="1" applyFill="1" applyAlignment="1">
      <alignment horizontal="left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ominas/AppData/Local/Temp/Rar$DIa0.080/calendario-2015-excel-lunes-a-doming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ohemy/Dropbox%20(Dropbox.Server)/Workforce/Nohemi/Estatus%20Nominas%202015C%20(Copia%20en%20conflicto%20de%20nominasNueva%202015-07-2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Mensual"/>
      <sheetName val="Mini"/>
      <sheetName val="Diario"/>
      <sheetName val="Configuracion"/>
    </sheetNames>
    <sheetDataSet>
      <sheetData sheetId="0">
        <row r="1">
          <cell r="B1">
            <v>42005</v>
          </cell>
        </row>
        <row r="5">
          <cell r="E5">
            <v>42005</v>
          </cell>
          <cell r="F5">
            <v>42006</v>
          </cell>
          <cell r="G5">
            <v>42007</v>
          </cell>
          <cell r="H5">
            <v>42008</v>
          </cell>
          <cell r="P5">
            <v>42036</v>
          </cell>
          <cell r="X5">
            <v>42064</v>
          </cell>
        </row>
        <row r="6">
          <cell r="B6">
            <v>42009</v>
          </cell>
          <cell r="C6">
            <v>42010</v>
          </cell>
          <cell r="D6">
            <v>42011</v>
          </cell>
          <cell r="E6">
            <v>42012</v>
          </cell>
          <cell r="F6">
            <v>42013</v>
          </cell>
          <cell r="G6">
            <v>42014</v>
          </cell>
          <cell r="H6">
            <v>42015</v>
          </cell>
          <cell r="J6">
            <v>42037</v>
          </cell>
          <cell r="K6">
            <v>42038</v>
          </cell>
          <cell r="L6">
            <v>42039</v>
          </cell>
          <cell r="M6">
            <v>42040</v>
          </cell>
          <cell r="N6">
            <v>42041</v>
          </cell>
          <cell r="O6">
            <v>42042</v>
          </cell>
          <cell r="P6">
            <v>42043</v>
          </cell>
          <cell r="R6">
            <v>42065</v>
          </cell>
          <cell r="S6">
            <v>42066</v>
          </cell>
          <cell r="T6">
            <v>42067</v>
          </cell>
          <cell r="U6">
            <v>42068</v>
          </cell>
          <cell r="V6">
            <v>42069</v>
          </cell>
          <cell r="W6">
            <v>42070</v>
          </cell>
          <cell r="X6">
            <v>42071</v>
          </cell>
        </row>
        <row r="7">
          <cell r="B7">
            <v>42016</v>
          </cell>
          <cell r="C7">
            <v>42017</v>
          </cell>
          <cell r="D7">
            <v>42018</v>
          </cell>
          <cell r="E7">
            <v>42019</v>
          </cell>
          <cell r="F7">
            <v>42020</v>
          </cell>
          <cell r="G7">
            <v>42021</v>
          </cell>
          <cell r="H7">
            <v>42022</v>
          </cell>
          <cell r="J7">
            <v>42044</v>
          </cell>
          <cell r="K7">
            <v>42045</v>
          </cell>
          <cell r="L7">
            <v>42046</v>
          </cell>
          <cell r="M7">
            <v>42047</v>
          </cell>
          <cell r="N7">
            <v>42048</v>
          </cell>
          <cell r="O7">
            <v>42049</v>
          </cell>
          <cell r="P7">
            <v>42050</v>
          </cell>
          <cell r="R7">
            <v>42072</v>
          </cell>
          <cell r="S7">
            <v>42073</v>
          </cell>
          <cell r="T7">
            <v>42074</v>
          </cell>
          <cell r="U7">
            <v>42075</v>
          </cell>
          <cell r="V7">
            <v>42076</v>
          </cell>
          <cell r="W7">
            <v>42077</v>
          </cell>
          <cell r="X7">
            <v>42078</v>
          </cell>
        </row>
        <row r="8">
          <cell r="B8">
            <v>42023</v>
          </cell>
          <cell r="C8">
            <v>42024</v>
          </cell>
          <cell r="D8">
            <v>42025</v>
          </cell>
          <cell r="E8">
            <v>42026</v>
          </cell>
          <cell r="F8">
            <v>42027</v>
          </cell>
          <cell r="G8">
            <v>42028</v>
          </cell>
          <cell r="H8">
            <v>42029</v>
          </cell>
          <cell r="J8">
            <v>42051</v>
          </cell>
          <cell r="K8">
            <v>42052</v>
          </cell>
          <cell r="L8">
            <v>42053</v>
          </cell>
          <cell r="M8">
            <v>42054</v>
          </cell>
          <cell r="N8">
            <v>42055</v>
          </cell>
          <cell r="O8">
            <v>42056</v>
          </cell>
          <cell r="P8">
            <v>42057</v>
          </cell>
          <cell r="R8">
            <v>42079</v>
          </cell>
          <cell r="S8">
            <v>42080</v>
          </cell>
          <cell r="T8">
            <v>42081</v>
          </cell>
          <cell r="U8">
            <v>42082</v>
          </cell>
          <cell r="V8">
            <v>42083</v>
          </cell>
          <cell r="W8">
            <v>42084</v>
          </cell>
          <cell r="X8">
            <v>42085</v>
          </cell>
        </row>
        <row r="9">
          <cell r="B9">
            <v>42030</v>
          </cell>
          <cell r="C9">
            <v>42031</v>
          </cell>
          <cell r="D9">
            <v>42032</v>
          </cell>
          <cell r="E9">
            <v>42033</v>
          </cell>
          <cell r="F9">
            <v>42034</v>
          </cell>
          <cell r="G9">
            <v>42035</v>
          </cell>
          <cell r="J9">
            <v>42058</v>
          </cell>
          <cell r="K9">
            <v>42059</v>
          </cell>
          <cell r="L9">
            <v>42060</v>
          </cell>
          <cell r="M9">
            <v>42061</v>
          </cell>
          <cell r="N9">
            <v>42062</v>
          </cell>
          <cell r="O9">
            <v>42063</v>
          </cell>
          <cell r="R9">
            <v>42086</v>
          </cell>
          <cell r="S9">
            <v>42087</v>
          </cell>
          <cell r="T9">
            <v>42088</v>
          </cell>
          <cell r="U9">
            <v>42089</v>
          </cell>
          <cell r="V9">
            <v>42090</v>
          </cell>
          <cell r="W9">
            <v>42091</v>
          </cell>
          <cell r="X9">
            <v>42092</v>
          </cell>
        </row>
        <row r="10">
          <cell r="R10">
            <v>42093</v>
          </cell>
          <cell r="S10">
            <v>42094</v>
          </cell>
        </row>
        <row r="14">
          <cell r="D14">
            <v>42095</v>
          </cell>
          <cell r="E14">
            <v>42096</v>
          </cell>
          <cell r="F14">
            <v>42097</v>
          </cell>
          <cell r="G14">
            <v>42098</v>
          </cell>
          <cell r="H14">
            <v>42099</v>
          </cell>
          <cell r="N14">
            <v>42125</v>
          </cell>
          <cell r="O14">
            <v>42126</v>
          </cell>
          <cell r="P14">
            <v>42127</v>
          </cell>
          <cell r="R14">
            <v>42156</v>
          </cell>
          <cell r="S14">
            <v>42157</v>
          </cell>
          <cell r="T14">
            <v>42158</v>
          </cell>
          <cell r="U14">
            <v>42159</v>
          </cell>
          <cell r="V14">
            <v>42160</v>
          </cell>
          <cell r="W14">
            <v>42161</v>
          </cell>
          <cell r="X14">
            <v>42162</v>
          </cell>
        </row>
        <row r="15">
          <cell r="B15">
            <v>42100</v>
          </cell>
          <cell r="C15">
            <v>42101</v>
          </cell>
          <cell r="D15">
            <v>42102</v>
          </cell>
          <cell r="E15">
            <v>42103</v>
          </cell>
          <cell r="F15">
            <v>42104</v>
          </cell>
          <cell r="G15">
            <v>42105</v>
          </cell>
          <cell r="H15">
            <v>42106</v>
          </cell>
          <cell r="J15">
            <v>42128</v>
          </cell>
          <cell r="K15">
            <v>42129</v>
          </cell>
          <cell r="L15">
            <v>42130</v>
          </cell>
          <cell r="M15">
            <v>42131</v>
          </cell>
          <cell r="N15">
            <v>42132</v>
          </cell>
          <cell r="O15">
            <v>42133</v>
          </cell>
          <cell r="P15">
            <v>42134</v>
          </cell>
          <cell r="R15">
            <v>42163</v>
          </cell>
          <cell r="S15">
            <v>42164</v>
          </cell>
          <cell r="T15">
            <v>42165</v>
          </cell>
          <cell r="U15">
            <v>42166</v>
          </cell>
          <cell r="V15">
            <v>42167</v>
          </cell>
          <cell r="W15">
            <v>42168</v>
          </cell>
          <cell r="X15">
            <v>42169</v>
          </cell>
        </row>
        <row r="16">
          <cell r="B16">
            <v>42107</v>
          </cell>
          <cell r="C16">
            <v>42108</v>
          </cell>
          <cell r="D16">
            <v>42109</v>
          </cell>
          <cell r="E16">
            <v>42110</v>
          </cell>
          <cell r="F16">
            <v>42111</v>
          </cell>
          <cell r="G16">
            <v>42112</v>
          </cell>
          <cell r="H16">
            <v>42113</v>
          </cell>
          <cell r="J16">
            <v>42135</v>
          </cell>
          <cell r="K16">
            <v>42136</v>
          </cell>
          <cell r="L16">
            <v>42137</v>
          </cell>
          <cell r="M16">
            <v>42138</v>
          </cell>
          <cell r="N16">
            <v>42139</v>
          </cell>
          <cell r="O16">
            <v>42140</v>
          </cell>
          <cell r="P16">
            <v>42141</v>
          </cell>
          <cell r="R16">
            <v>42170</v>
          </cell>
          <cell r="S16">
            <v>42171</v>
          </cell>
          <cell r="T16">
            <v>42172</v>
          </cell>
          <cell r="U16">
            <v>42173</v>
          </cell>
          <cell r="V16">
            <v>42174</v>
          </cell>
          <cell r="W16">
            <v>42175</v>
          </cell>
          <cell r="X16">
            <v>42176</v>
          </cell>
        </row>
        <row r="17">
          <cell r="B17">
            <v>42114</v>
          </cell>
          <cell r="C17">
            <v>42115</v>
          </cell>
          <cell r="D17">
            <v>42116</v>
          </cell>
          <cell r="E17">
            <v>42117</v>
          </cell>
          <cell r="F17">
            <v>42118</v>
          </cell>
          <cell r="G17">
            <v>42119</v>
          </cell>
          <cell r="H17">
            <v>42120</v>
          </cell>
          <cell r="J17">
            <v>42142</v>
          </cell>
          <cell r="K17">
            <v>42143</v>
          </cell>
          <cell r="L17">
            <v>42144</v>
          </cell>
          <cell r="M17">
            <v>42145</v>
          </cell>
          <cell r="N17">
            <v>42146</v>
          </cell>
          <cell r="O17">
            <v>42147</v>
          </cell>
          <cell r="P17">
            <v>42148</v>
          </cell>
          <cell r="R17">
            <v>42177</v>
          </cell>
          <cell r="S17">
            <v>42178</v>
          </cell>
          <cell r="T17">
            <v>42179</v>
          </cell>
          <cell r="U17">
            <v>42180</v>
          </cell>
          <cell r="V17">
            <v>42181</v>
          </cell>
          <cell r="W17">
            <v>42182</v>
          </cell>
          <cell r="X17">
            <v>42183</v>
          </cell>
        </row>
        <row r="18">
          <cell r="B18">
            <v>42121</v>
          </cell>
          <cell r="C18">
            <v>42122</v>
          </cell>
          <cell r="D18">
            <v>42123</v>
          </cell>
          <cell r="E18">
            <v>42124</v>
          </cell>
          <cell r="J18">
            <v>42149</v>
          </cell>
          <cell r="K18">
            <v>42150</v>
          </cell>
          <cell r="L18">
            <v>42151</v>
          </cell>
          <cell r="M18">
            <v>42152</v>
          </cell>
          <cell r="N18">
            <v>42153</v>
          </cell>
          <cell r="O18">
            <v>42154</v>
          </cell>
          <cell r="P18">
            <v>42155</v>
          </cell>
          <cell r="R18">
            <v>42184</v>
          </cell>
          <cell r="S18">
            <v>42185</v>
          </cell>
        </row>
        <row r="23">
          <cell r="D23">
            <v>42186</v>
          </cell>
          <cell r="E23">
            <v>42187</v>
          </cell>
          <cell r="F23">
            <v>42188</v>
          </cell>
          <cell r="G23">
            <v>42189</v>
          </cell>
          <cell r="H23">
            <v>42190</v>
          </cell>
          <cell r="O23">
            <v>42217</v>
          </cell>
          <cell r="P23">
            <v>42218</v>
          </cell>
          <cell r="S23">
            <v>42248</v>
          </cell>
          <cell r="T23">
            <v>42249</v>
          </cell>
          <cell r="U23">
            <v>42250</v>
          </cell>
          <cell r="V23">
            <v>42251</v>
          </cell>
          <cell r="W23">
            <v>42252</v>
          </cell>
          <cell r="X23">
            <v>42253</v>
          </cell>
        </row>
        <row r="24">
          <cell r="B24">
            <v>42191</v>
          </cell>
          <cell r="C24">
            <v>42192</v>
          </cell>
          <cell r="D24">
            <v>42193</v>
          </cell>
          <cell r="E24">
            <v>42194</v>
          </cell>
          <cell r="F24">
            <v>42195</v>
          </cell>
          <cell r="G24">
            <v>42196</v>
          </cell>
          <cell r="H24">
            <v>42197</v>
          </cell>
          <cell r="J24">
            <v>42219</v>
          </cell>
          <cell r="K24">
            <v>42220</v>
          </cell>
          <cell r="L24">
            <v>42221</v>
          </cell>
          <cell r="M24">
            <v>42222</v>
          </cell>
          <cell r="N24">
            <v>42223</v>
          </cell>
          <cell r="O24">
            <v>42224</v>
          </cell>
          <cell r="P24">
            <v>42225</v>
          </cell>
          <cell r="R24">
            <v>42254</v>
          </cell>
          <cell r="S24">
            <v>42255</v>
          </cell>
          <cell r="T24">
            <v>42256</v>
          </cell>
          <cell r="U24">
            <v>42257</v>
          </cell>
          <cell r="V24">
            <v>42258</v>
          </cell>
          <cell r="W24">
            <v>42259</v>
          </cell>
          <cell r="X24">
            <v>42260</v>
          </cell>
        </row>
        <row r="25">
          <cell r="B25">
            <v>42198</v>
          </cell>
          <cell r="C25">
            <v>42199</v>
          </cell>
          <cell r="D25">
            <v>42200</v>
          </cell>
          <cell r="E25">
            <v>42201</v>
          </cell>
          <cell r="F25">
            <v>42202</v>
          </cell>
          <cell r="G25">
            <v>42203</v>
          </cell>
          <cell r="H25">
            <v>42204</v>
          </cell>
          <cell r="J25">
            <v>42226</v>
          </cell>
          <cell r="K25">
            <v>42227</v>
          </cell>
          <cell r="L25">
            <v>42228</v>
          </cell>
          <cell r="M25">
            <v>42229</v>
          </cell>
          <cell r="N25">
            <v>42230</v>
          </cell>
          <cell r="O25">
            <v>42231</v>
          </cell>
          <cell r="P25">
            <v>42232</v>
          </cell>
          <cell r="R25">
            <v>42261</v>
          </cell>
          <cell r="S25">
            <v>42262</v>
          </cell>
          <cell r="T25">
            <v>42263</v>
          </cell>
          <cell r="U25">
            <v>42264</v>
          </cell>
          <cell r="V25">
            <v>42265</v>
          </cell>
          <cell r="W25">
            <v>42266</v>
          </cell>
          <cell r="X25">
            <v>42267</v>
          </cell>
        </row>
        <row r="26">
          <cell r="B26">
            <v>42205</v>
          </cell>
          <cell r="C26">
            <v>42206</v>
          </cell>
          <cell r="D26">
            <v>42207</v>
          </cell>
          <cell r="E26">
            <v>42208</v>
          </cell>
          <cell r="F26">
            <v>42209</v>
          </cell>
          <cell r="G26">
            <v>42210</v>
          </cell>
          <cell r="H26">
            <v>42211</v>
          </cell>
          <cell r="J26">
            <v>42233</v>
          </cell>
          <cell r="K26">
            <v>42234</v>
          </cell>
          <cell r="L26">
            <v>42235</v>
          </cell>
          <cell r="M26">
            <v>42236</v>
          </cell>
          <cell r="N26">
            <v>42237</v>
          </cell>
          <cell r="O26">
            <v>42238</v>
          </cell>
          <cell r="P26">
            <v>42239</v>
          </cell>
          <cell r="R26">
            <v>42268</v>
          </cell>
          <cell r="S26">
            <v>42269</v>
          </cell>
          <cell r="T26">
            <v>42270</v>
          </cell>
          <cell r="U26">
            <v>42271</v>
          </cell>
          <cell r="V26">
            <v>42272</v>
          </cell>
          <cell r="W26">
            <v>42273</v>
          </cell>
          <cell r="X26">
            <v>42274</v>
          </cell>
        </row>
        <row r="27">
          <cell r="B27">
            <v>42212</v>
          </cell>
          <cell r="C27">
            <v>42213</v>
          </cell>
          <cell r="D27">
            <v>42214</v>
          </cell>
          <cell r="E27">
            <v>42215</v>
          </cell>
          <cell r="F27">
            <v>42216</v>
          </cell>
          <cell r="J27">
            <v>42240</v>
          </cell>
          <cell r="K27">
            <v>42241</v>
          </cell>
          <cell r="L27">
            <v>42242</v>
          </cell>
          <cell r="M27">
            <v>42243</v>
          </cell>
          <cell r="N27">
            <v>42244</v>
          </cell>
          <cell r="O27">
            <v>42245</v>
          </cell>
          <cell r="P27">
            <v>42246</v>
          </cell>
          <cell r="R27">
            <v>42275</v>
          </cell>
          <cell r="S27">
            <v>42276</v>
          </cell>
          <cell r="T27">
            <v>42277</v>
          </cell>
        </row>
        <row r="28">
          <cell r="J28">
            <v>42247</v>
          </cell>
        </row>
        <row r="32">
          <cell r="E32">
            <v>42278</v>
          </cell>
          <cell r="F32">
            <v>42279</v>
          </cell>
          <cell r="G32">
            <v>42280</v>
          </cell>
          <cell r="H32">
            <v>42281</v>
          </cell>
          <cell r="P32">
            <v>42309</v>
          </cell>
          <cell r="S32">
            <v>42339</v>
          </cell>
          <cell r="T32">
            <v>42340</v>
          </cell>
          <cell r="U32">
            <v>42341</v>
          </cell>
          <cell r="V32">
            <v>42342</v>
          </cell>
          <cell r="W32">
            <v>42343</v>
          </cell>
          <cell r="X32">
            <v>42344</v>
          </cell>
        </row>
        <row r="33">
          <cell r="B33">
            <v>42282</v>
          </cell>
          <cell r="C33">
            <v>42283</v>
          </cell>
          <cell r="D33">
            <v>42284</v>
          </cell>
          <cell r="E33">
            <v>42285</v>
          </cell>
          <cell r="F33">
            <v>42286</v>
          </cell>
          <cell r="G33">
            <v>42287</v>
          </cell>
          <cell r="H33">
            <v>42288</v>
          </cell>
          <cell r="J33">
            <v>42310</v>
          </cell>
          <cell r="K33">
            <v>42311</v>
          </cell>
          <cell r="L33">
            <v>42312</v>
          </cell>
          <cell r="M33">
            <v>42313</v>
          </cell>
          <cell r="N33">
            <v>42314</v>
          </cell>
          <cell r="O33">
            <v>42315</v>
          </cell>
          <cell r="P33">
            <v>42316</v>
          </cell>
          <cell r="R33">
            <v>42345</v>
          </cell>
          <cell r="S33">
            <v>42346</v>
          </cell>
          <cell r="T33">
            <v>42347</v>
          </cell>
          <cell r="U33">
            <v>42348</v>
          </cell>
          <cell r="V33">
            <v>42349</v>
          </cell>
          <cell r="W33">
            <v>42350</v>
          </cell>
          <cell r="X33">
            <v>42351</v>
          </cell>
        </row>
        <row r="34">
          <cell r="B34">
            <v>42289</v>
          </cell>
          <cell r="C34">
            <v>42290</v>
          </cell>
          <cell r="D34">
            <v>42291</v>
          </cell>
          <cell r="E34">
            <v>42292</v>
          </cell>
          <cell r="F34">
            <v>42293</v>
          </cell>
          <cell r="G34">
            <v>42294</v>
          </cell>
          <cell r="H34">
            <v>42295</v>
          </cell>
          <cell r="J34">
            <v>42317</v>
          </cell>
          <cell r="K34">
            <v>42318</v>
          </cell>
          <cell r="L34">
            <v>42319</v>
          </cell>
          <cell r="M34">
            <v>42320</v>
          </cell>
          <cell r="N34">
            <v>42321</v>
          </cell>
          <cell r="O34">
            <v>42322</v>
          </cell>
          <cell r="P34">
            <v>42323</v>
          </cell>
          <cell r="R34">
            <v>42352</v>
          </cell>
          <cell r="S34">
            <v>42353</v>
          </cell>
          <cell r="T34">
            <v>42354</v>
          </cell>
          <cell r="U34">
            <v>42355</v>
          </cell>
          <cell r="V34">
            <v>42356</v>
          </cell>
          <cell r="W34">
            <v>42357</v>
          </cell>
          <cell r="X34">
            <v>42358</v>
          </cell>
        </row>
        <row r="35">
          <cell r="B35">
            <v>42296</v>
          </cell>
          <cell r="C35">
            <v>42297</v>
          </cell>
          <cell r="D35">
            <v>42298</v>
          </cell>
          <cell r="E35">
            <v>42299</v>
          </cell>
          <cell r="F35">
            <v>42300</v>
          </cell>
          <cell r="G35">
            <v>42301</v>
          </cell>
          <cell r="H35">
            <v>42302</v>
          </cell>
          <cell r="J35">
            <v>42324</v>
          </cell>
          <cell r="K35">
            <v>42325</v>
          </cell>
          <cell r="L35">
            <v>42326</v>
          </cell>
          <cell r="M35">
            <v>42327</v>
          </cell>
          <cell r="N35">
            <v>42328</v>
          </cell>
          <cell r="O35">
            <v>42329</v>
          </cell>
          <cell r="P35">
            <v>42330</v>
          </cell>
          <cell r="R35">
            <v>42359</v>
          </cell>
          <cell r="S35">
            <v>42360</v>
          </cell>
          <cell r="T35">
            <v>42361</v>
          </cell>
          <cell r="U35">
            <v>42362</v>
          </cell>
          <cell r="V35">
            <v>42363</v>
          </cell>
          <cell r="W35">
            <v>42364</v>
          </cell>
          <cell r="X35">
            <v>42365</v>
          </cell>
        </row>
        <row r="36">
          <cell r="B36">
            <v>42303</v>
          </cell>
          <cell r="C36">
            <v>42304</v>
          </cell>
          <cell r="D36">
            <v>42305</v>
          </cell>
          <cell r="E36">
            <v>42306</v>
          </cell>
          <cell r="F36">
            <v>42307</v>
          </cell>
          <cell r="G36">
            <v>42308</v>
          </cell>
          <cell r="J36">
            <v>42331</v>
          </cell>
          <cell r="K36">
            <v>42332</v>
          </cell>
          <cell r="L36">
            <v>42333</v>
          </cell>
          <cell r="M36">
            <v>42334</v>
          </cell>
          <cell r="N36">
            <v>42335</v>
          </cell>
          <cell r="O36">
            <v>42336</v>
          </cell>
          <cell r="P36">
            <v>42337</v>
          </cell>
          <cell r="R36">
            <v>42366</v>
          </cell>
          <cell r="S36">
            <v>42367</v>
          </cell>
          <cell r="T36">
            <v>42368</v>
          </cell>
          <cell r="U36">
            <v>42369</v>
          </cell>
        </row>
        <row r="37">
          <cell r="J37">
            <v>42338</v>
          </cell>
        </row>
      </sheetData>
      <sheetData sheetId="1"/>
      <sheetData sheetId="2"/>
      <sheetData sheetId="3">
        <row r="2">
          <cell r="F2">
            <v>1</v>
          </cell>
        </row>
        <row r="3"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0</v>
          </cell>
        </row>
        <row r="113">
          <cell r="F113">
            <v>0</v>
          </cell>
        </row>
        <row r="114">
          <cell r="F114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0</v>
          </cell>
        </row>
        <row r="119">
          <cell r="F119">
            <v>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0</v>
          </cell>
        </row>
        <row r="125">
          <cell r="F125">
            <v>0</v>
          </cell>
        </row>
        <row r="126">
          <cell r="F126">
            <v>0</v>
          </cell>
        </row>
        <row r="127">
          <cell r="F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F138">
            <v>0</v>
          </cell>
        </row>
        <row r="139">
          <cell r="F139">
            <v>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0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0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76">
          <cell r="F176">
            <v>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0</v>
          </cell>
        </row>
        <row r="186">
          <cell r="F186">
            <v>0</v>
          </cell>
        </row>
        <row r="187">
          <cell r="F187">
            <v>0</v>
          </cell>
        </row>
        <row r="188">
          <cell r="F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0</v>
          </cell>
        </row>
        <row r="210">
          <cell r="F210">
            <v>0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F215">
            <v>0</v>
          </cell>
        </row>
        <row r="216">
          <cell r="F216">
            <v>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0</v>
          </cell>
        </row>
        <row r="222">
          <cell r="F222">
            <v>0</v>
          </cell>
        </row>
        <row r="223">
          <cell r="F223">
            <v>0</v>
          </cell>
        </row>
        <row r="224">
          <cell r="F224">
            <v>0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0</v>
          </cell>
        </row>
        <row r="248">
          <cell r="F248">
            <v>0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F252">
            <v>0</v>
          </cell>
        </row>
        <row r="253">
          <cell r="F253">
            <v>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0</v>
          </cell>
        </row>
        <row r="261">
          <cell r="F261">
            <v>0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0</v>
          </cell>
        </row>
        <row r="266">
          <cell r="F266">
            <v>0</v>
          </cell>
        </row>
        <row r="267">
          <cell r="F267">
            <v>0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0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0</v>
          </cell>
        </row>
        <row r="285">
          <cell r="F285">
            <v>0</v>
          </cell>
        </row>
        <row r="286">
          <cell r="F286">
            <v>0</v>
          </cell>
        </row>
        <row r="287">
          <cell r="F287">
            <v>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0</v>
          </cell>
        </row>
        <row r="294">
          <cell r="F294">
            <v>0</v>
          </cell>
        </row>
        <row r="295">
          <cell r="F295">
            <v>0</v>
          </cell>
        </row>
        <row r="296">
          <cell r="F296">
            <v>0</v>
          </cell>
        </row>
        <row r="297">
          <cell r="F297">
            <v>0</v>
          </cell>
        </row>
        <row r="298">
          <cell r="F298">
            <v>0</v>
          </cell>
        </row>
        <row r="299">
          <cell r="F299">
            <v>0</v>
          </cell>
        </row>
        <row r="300">
          <cell r="F300">
            <v>0</v>
          </cell>
        </row>
        <row r="301">
          <cell r="F301">
            <v>0</v>
          </cell>
        </row>
        <row r="302">
          <cell r="F302">
            <v>0</v>
          </cell>
        </row>
        <row r="303">
          <cell r="F303">
            <v>0</v>
          </cell>
        </row>
        <row r="304">
          <cell r="F304">
            <v>0</v>
          </cell>
        </row>
        <row r="305">
          <cell r="F305">
            <v>0</v>
          </cell>
        </row>
        <row r="306">
          <cell r="F306">
            <v>0</v>
          </cell>
        </row>
        <row r="307">
          <cell r="F307">
            <v>0</v>
          </cell>
        </row>
        <row r="308">
          <cell r="F308">
            <v>0</v>
          </cell>
        </row>
        <row r="309">
          <cell r="F309">
            <v>0</v>
          </cell>
        </row>
        <row r="310">
          <cell r="F310">
            <v>0</v>
          </cell>
        </row>
        <row r="311">
          <cell r="F311">
            <v>0</v>
          </cell>
        </row>
        <row r="312">
          <cell r="F312">
            <v>0</v>
          </cell>
        </row>
        <row r="313">
          <cell r="F313">
            <v>0</v>
          </cell>
        </row>
        <row r="314">
          <cell r="F314">
            <v>0</v>
          </cell>
        </row>
        <row r="315">
          <cell r="F315">
            <v>0</v>
          </cell>
        </row>
        <row r="316">
          <cell r="F316">
            <v>0</v>
          </cell>
        </row>
        <row r="317">
          <cell r="F317">
            <v>0</v>
          </cell>
        </row>
        <row r="318">
          <cell r="F318">
            <v>0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0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F330">
            <v>0</v>
          </cell>
        </row>
        <row r="331">
          <cell r="F331">
            <v>0</v>
          </cell>
        </row>
        <row r="332">
          <cell r="F332">
            <v>0</v>
          </cell>
        </row>
        <row r="333">
          <cell r="F333">
            <v>0</v>
          </cell>
        </row>
        <row r="334">
          <cell r="F334">
            <v>0</v>
          </cell>
        </row>
        <row r="335">
          <cell r="F335">
            <v>0</v>
          </cell>
        </row>
        <row r="336">
          <cell r="F336">
            <v>0</v>
          </cell>
        </row>
        <row r="337">
          <cell r="F337">
            <v>0</v>
          </cell>
        </row>
        <row r="338">
          <cell r="F338">
            <v>0</v>
          </cell>
        </row>
        <row r="339">
          <cell r="F339">
            <v>0</v>
          </cell>
        </row>
        <row r="340">
          <cell r="F340">
            <v>0</v>
          </cell>
        </row>
        <row r="341">
          <cell r="F341">
            <v>0</v>
          </cell>
        </row>
        <row r="342">
          <cell r="F342">
            <v>0</v>
          </cell>
        </row>
        <row r="343">
          <cell r="F343">
            <v>0</v>
          </cell>
        </row>
        <row r="344">
          <cell r="F344">
            <v>0</v>
          </cell>
        </row>
        <row r="345">
          <cell r="F345">
            <v>0</v>
          </cell>
        </row>
        <row r="346">
          <cell r="F346">
            <v>0</v>
          </cell>
        </row>
        <row r="347">
          <cell r="F347">
            <v>0</v>
          </cell>
        </row>
        <row r="348">
          <cell r="F348">
            <v>0</v>
          </cell>
        </row>
        <row r="349">
          <cell r="F349">
            <v>0</v>
          </cell>
        </row>
        <row r="350">
          <cell r="F350">
            <v>0</v>
          </cell>
        </row>
        <row r="351">
          <cell r="F351">
            <v>0</v>
          </cell>
        </row>
        <row r="352">
          <cell r="F352">
            <v>0</v>
          </cell>
        </row>
        <row r="353">
          <cell r="F353">
            <v>0</v>
          </cell>
        </row>
        <row r="354">
          <cell r="F354">
            <v>0</v>
          </cell>
        </row>
        <row r="355">
          <cell r="F355">
            <v>0</v>
          </cell>
        </row>
        <row r="356">
          <cell r="F356">
            <v>0</v>
          </cell>
        </row>
        <row r="357">
          <cell r="F357">
            <v>0</v>
          </cell>
        </row>
        <row r="358">
          <cell r="F358">
            <v>0</v>
          </cell>
        </row>
        <row r="359">
          <cell r="F359">
            <v>0</v>
          </cell>
        </row>
        <row r="360">
          <cell r="F360">
            <v>1</v>
          </cell>
        </row>
        <row r="361">
          <cell r="F361">
            <v>0</v>
          </cell>
        </row>
        <row r="362">
          <cell r="F362">
            <v>0</v>
          </cell>
        </row>
        <row r="363">
          <cell r="F363">
            <v>0</v>
          </cell>
        </row>
        <row r="364">
          <cell r="F364">
            <v>0</v>
          </cell>
        </row>
        <row r="365">
          <cell r="F365">
            <v>0</v>
          </cell>
        </row>
        <row r="366">
          <cell r="F366">
            <v>0</v>
          </cell>
        </row>
      </sheetData>
      <sheetData sheetId="4">
        <row r="2">
          <cell r="B2" t="str">
            <v>EXCELTOTAL</v>
          </cell>
        </row>
        <row r="4">
          <cell r="B4" t="str">
            <v>ID</v>
          </cell>
          <cell r="C4" t="str">
            <v>Categoría</v>
          </cell>
        </row>
        <row r="5">
          <cell r="B5">
            <v>1</v>
          </cell>
          <cell r="C5" t="str">
            <v>Festivo</v>
          </cell>
        </row>
        <row r="6">
          <cell r="B6">
            <v>2</v>
          </cell>
          <cell r="C6" t="str">
            <v>Aniversario</v>
          </cell>
        </row>
        <row r="7">
          <cell r="B7">
            <v>3</v>
          </cell>
          <cell r="C7" t="str">
            <v>Vacaciones</v>
          </cell>
        </row>
        <row r="8">
          <cell r="B8">
            <v>4</v>
          </cell>
          <cell r="C8" t="str">
            <v>Importante</v>
          </cell>
        </row>
        <row r="9">
          <cell r="B9">
            <v>5</v>
          </cell>
          <cell r="C9" t="str">
            <v>Fecha límite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 01-2015"/>
      <sheetName val="Sem 02-2015"/>
      <sheetName val="Sem 03-2015"/>
      <sheetName val="Sem 04-2015"/>
      <sheetName val="Sem 05-2015"/>
      <sheetName val="Sem 06-2015"/>
      <sheetName val="Sem 07-2015"/>
      <sheetName val="Sem 08-2015"/>
      <sheetName val="Sem 09-2015"/>
      <sheetName val="Sem 10-2015"/>
      <sheetName val="Sem 11-2015"/>
      <sheetName val="Sem 12-2015"/>
      <sheetName val="Sem 13-2015"/>
      <sheetName val="Sem 14-2015"/>
      <sheetName val="Sem 15-2015"/>
      <sheetName val="Sem 16-2015"/>
      <sheetName val="Sem 17-2015"/>
      <sheetName val="Sem 18-2015"/>
      <sheetName val="Sem 19-2015"/>
      <sheetName val="Sem 20-2015"/>
      <sheetName val="Sem 21-2015"/>
      <sheetName val="Sem 22-2015"/>
      <sheetName val="Sem 23-2015"/>
      <sheetName val="Sem 24-2015"/>
      <sheetName val="Sem 25-2015"/>
      <sheetName val="Sem 26-2015"/>
      <sheetName val="Sem 27-2015"/>
      <sheetName val="Sem 28-2015"/>
      <sheetName val="Sem 29-2015"/>
      <sheetName val="Sem 30-2015"/>
      <sheetName val="Sheet1"/>
      <sheetName val="Hoja1"/>
      <sheetName val="Check list"/>
      <sheetName val="Calendario"/>
      <sheetName val="Mensual"/>
      <sheetName val="2015"/>
      <sheetName val="Listado Entrega"/>
      <sheetName val="O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>
        <row r="5">
          <cell r="E5">
            <v>42005</v>
          </cell>
          <cell r="F5">
            <v>42006</v>
          </cell>
          <cell r="G5">
            <v>42007</v>
          </cell>
          <cell r="H5">
            <v>42008</v>
          </cell>
        </row>
        <row r="7">
          <cell r="B7">
            <v>42009</v>
          </cell>
          <cell r="C7">
            <v>42010</v>
          </cell>
          <cell r="D7">
            <v>42011</v>
          </cell>
          <cell r="E7">
            <v>42012</v>
          </cell>
          <cell r="F7">
            <v>42013</v>
          </cell>
          <cell r="G7">
            <v>42014</v>
          </cell>
          <cell r="H7">
            <v>42015</v>
          </cell>
        </row>
        <row r="9">
          <cell r="B9">
            <v>42016</v>
          </cell>
          <cell r="C9">
            <v>42017</v>
          </cell>
          <cell r="D9">
            <v>42018</v>
          </cell>
          <cell r="E9">
            <v>42019</v>
          </cell>
          <cell r="F9">
            <v>42020</v>
          </cell>
          <cell r="G9">
            <v>42021</v>
          </cell>
          <cell r="H9">
            <v>42022</v>
          </cell>
        </row>
        <row r="11">
          <cell r="B11">
            <v>42023</v>
          </cell>
          <cell r="C11">
            <v>42024</v>
          </cell>
          <cell r="D11">
            <v>42025</v>
          </cell>
          <cell r="E11">
            <v>42026</v>
          </cell>
          <cell r="F11">
            <v>42027</v>
          </cell>
          <cell r="G11">
            <v>42028</v>
          </cell>
          <cell r="H11">
            <v>42029</v>
          </cell>
        </row>
        <row r="13">
          <cell r="B13">
            <v>42030</v>
          </cell>
          <cell r="C13">
            <v>42031</v>
          </cell>
          <cell r="D13">
            <v>42032</v>
          </cell>
          <cell r="E13">
            <v>42033</v>
          </cell>
          <cell r="F13">
            <v>42034</v>
          </cell>
          <cell r="G13">
            <v>42035</v>
          </cell>
        </row>
        <row r="20">
          <cell r="H20">
            <v>42036</v>
          </cell>
        </row>
        <row r="22">
          <cell r="B22">
            <v>42037</v>
          </cell>
          <cell r="C22">
            <v>42038</v>
          </cell>
          <cell r="D22">
            <v>42039</v>
          </cell>
          <cell r="E22">
            <v>42040</v>
          </cell>
          <cell r="F22">
            <v>42041</v>
          </cell>
          <cell r="G22">
            <v>42042</v>
          </cell>
          <cell r="H22">
            <v>42043</v>
          </cell>
        </row>
        <row r="23">
          <cell r="B23" t="str">
            <v>FESTIVO</v>
          </cell>
          <cell r="C23" t="str">
            <v>Firma Finiquito</v>
          </cell>
          <cell r="D23" t="str">
            <v>Aplicacion de Finiquitos</v>
          </cell>
          <cell r="G23" t="str">
            <v>Capacitacion Coordinadores</v>
          </cell>
        </row>
        <row r="24">
          <cell r="B24">
            <v>42044</v>
          </cell>
          <cell r="C24">
            <v>42045</v>
          </cell>
          <cell r="D24">
            <v>42046</v>
          </cell>
          <cell r="E24">
            <v>42047</v>
          </cell>
          <cell r="F24">
            <v>42048</v>
          </cell>
          <cell r="G24">
            <v>42049</v>
          </cell>
          <cell r="H24">
            <v>42050</v>
          </cell>
        </row>
        <row r="26">
          <cell r="B26">
            <v>42051</v>
          </cell>
          <cell r="C26">
            <v>42052</v>
          </cell>
          <cell r="D26">
            <v>42053</v>
          </cell>
          <cell r="E26">
            <v>42054</v>
          </cell>
          <cell r="F26">
            <v>42055</v>
          </cell>
          <cell r="G26">
            <v>42056</v>
          </cell>
          <cell r="H26">
            <v>42057</v>
          </cell>
        </row>
        <row r="28">
          <cell r="B28">
            <v>42058</v>
          </cell>
          <cell r="C28">
            <v>42059</v>
          </cell>
          <cell r="D28">
            <v>42060</v>
          </cell>
          <cell r="E28">
            <v>42061</v>
          </cell>
          <cell r="F28">
            <v>42062</v>
          </cell>
          <cell r="G28">
            <v>42063</v>
          </cell>
        </row>
        <row r="35">
          <cell r="H35">
            <v>42064</v>
          </cell>
        </row>
        <row r="37">
          <cell r="B37">
            <v>42065</v>
          </cell>
          <cell r="C37">
            <v>42066</v>
          </cell>
          <cell r="D37">
            <v>42067</v>
          </cell>
          <cell r="E37">
            <v>42068</v>
          </cell>
          <cell r="F37">
            <v>42069</v>
          </cell>
          <cell r="G37">
            <v>42070</v>
          </cell>
          <cell r="H37">
            <v>42071</v>
          </cell>
        </row>
        <row r="38">
          <cell r="G38" t="str">
            <v>Capacitacion Coordinadores</v>
          </cell>
        </row>
        <row r="39">
          <cell r="B39">
            <v>42072</v>
          </cell>
          <cell r="C39">
            <v>42073</v>
          </cell>
          <cell r="D39">
            <v>42074</v>
          </cell>
          <cell r="E39">
            <v>42075</v>
          </cell>
          <cell r="F39">
            <v>42076</v>
          </cell>
          <cell r="G39">
            <v>42077</v>
          </cell>
          <cell r="H39">
            <v>42078</v>
          </cell>
        </row>
        <row r="40">
          <cell r="B40" t="str">
            <v>Planificacion Cierre Plantas por Semana Santa con Operaciones</v>
          </cell>
        </row>
        <row r="41">
          <cell r="B41">
            <v>42079</v>
          </cell>
          <cell r="C41">
            <v>42080</v>
          </cell>
          <cell r="D41">
            <v>42081</v>
          </cell>
          <cell r="E41">
            <v>42082</v>
          </cell>
          <cell r="F41">
            <v>42083</v>
          </cell>
          <cell r="G41">
            <v>42084</v>
          </cell>
          <cell r="H41">
            <v>42085</v>
          </cell>
        </row>
        <row r="42">
          <cell r="B42" t="str">
            <v>FESTIVO</v>
          </cell>
          <cell r="C42" t="str">
            <v>Firma Finiquito</v>
          </cell>
          <cell r="D42" t="str">
            <v>Aplicacion de Finiquitos</v>
          </cell>
        </row>
        <row r="43">
          <cell r="B43">
            <v>42086</v>
          </cell>
          <cell r="C43">
            <v>42087</v>
          </cell>
          <cell r="D43">
            <v>42088</v>
          </cell>
          <cell r="E43">
            <v>42089</v>
          </cell>
          <cell r="F43">
            <v>42090</v>
          </cell>
          <cell r="G43">
            <v>42091</v>
          </cell>
          <cell r="H43">
            <v>42092</v>
          </cell>
        </row>
        <row r="45">
          <cell r="B45">
            <v>42093</v>
          </cell>
          <cell r="C45">
            <v>42094</v>
          </cell>
        </row>
        <row r="50">
          <cell r="D50">
            <v>42095</v>
          </cell>
          <cell r="E50">
            <v>42096</v>
          </cell>
          <cell r="F50">
            <v>42097</v>
          </cell>
          <cell r="G50">
            <v>42098</v>
          </cell>
          <cell r="H50">
            <v>42099</v>
          </cell>
        </row>
        <row r="51">
          <cell r="G51" t="str">
            <v>Capacitacion Coordinadores</v>
          </cell>
        </row>
        <row r="52">
          <cell r="B52">
            <v>42100</v>
          </cell>
          <cell r="C52">
            <v>42101</v>
          </cell>
          <cell r="D52">
            <v>42102</v>
          </cell>
          <cell r="E52">
            <v>42103</v>
          </cell>
          <cell r="F52">
            <v>42104</v>
          </cell>
          <cell r="G52">
            <v>42105</v>
          </cell>
          <cell r="H52">
            <v>42106</v>
          </cell>
        </row>
        <row r="54">
          <cell r="B54">
            <v>42107</v>
          </cell>
          <cell r="C54">
            <v>42108</v>
          </cell>
          <cell r="D54">
            <v>42109</v>
          </cell>
          <cell r="E54">
            <v>42110</v>
          </cell>
          <cell r="F54">
            <v>42111</v>
          </cell>
          <cell r="G54">
            <v>42112</v>
          </cell>
          <cell r="H54">
            <v>42113</v>
          </cell>
        </row>
        <row r="55">
          <cell r="B55" t="str">
            <v>Semana para planificacion de Pago de PTU con Contabilidad</v>
          </cell>
        </row>
        <row r="56">
          <cell r="B56">
            <v>42114</v>
          </cell>
          <cell r="C56">
            <v>42115</v>
          </cell>
          <cell r="D56">
            <v>42116</v>
          </cell>
          <cell r="E56">
            <v>42117</v>
          </cell>
          <cell r="F56">
            <v>42118</v>
          </cell>
          <cell r="G56">
            <v>42119</v>
          </cell>
          <cell r="H56">
            <v>42120</v>
          </cell>
        </row>
        <row r="58">
          <cell r="B58">
            <v>42121</v>
          </cell>
          <cell r="C58">
            <v>42122</v>
          </cell>
          <cell r="D58">
            <v>42123</v>
          </cell>
          <cell r="E58">
            <v>42124</v>
          </cell>
        </row>
        <row r="65">
          <cell r="F65">
            <v>42125</v>
          </cell>
          <cell r="G65">
            <v>42126</v>
          </cell>
          <cell r="H65">
            <v>42127</v>
          </cell>
        </row>
        <row r="66">
          <cell r="F66" t="str">
            <v>FESTIVO</v>
          </cell>
        </row>
        <row r="67">
          <cell r="B67">
            <v>42128</v>
          </cell>
          <cell r="C67">
            <v>42129</v>
          </cell>
          <cell r="D67">
            <v>42130</v>
          </cell>
          <cell r="E67">
            <v>42131</v>
          </cell>
          <cell r="F67">
            <v>42132</v>
          </cell>
          <cell r="G67">
            <v>42133</v>
          </cell>
          <cell r="H67">
            <v>42134</v>
          </cell>
        </row>
        <row r="68">
          <cell r="G68" t="str">
            <v>Capacitacion Coordinadores</v>
          </cell>
        </row>
        <row r="69">
          <cell r="B69">
            <v>42135</v>
          </cell>
          <cell r="C69">
            <v>42136</v>
          </cell>
          <cell r="D69">
            <v>42137</v>
          </cell>
          <cell r="E69">
            <v>42138</v>
          </cell>
          <cell r="F69">
            <v>42139</v>
          </cell>
          <cell r="G69">
            <v>42140</v>
          </cell>
          <cell r="H69">
            <v>42141</v>
          </cell>
        </row>
        <row r="71">
          <cell r="B71">
            <v>42142</v>
          </cell>
          <cell r="C71">
            <v>42143</v>
          </cell>
          <cell r="D71">
            <v>42144</v>
          </cell>
          <cell r="E71">
            <v>42145</v>
          </cell>
          <cell r="F71">
            <v>42146</v>
          </cell>
          <cell r="G71">
            <v>42147</v>
          </cell>
          <cell r="H71">
            <v>42148</v>
          </cell>
        </row>
        <row r="73">
          <cell r="B73">
            <v>42149</v>
          </cell>
          <cell r="C73">
            <v>42150</v>
          </cell>
          <cell r="D73">
            <v>42151</v>
          </cell>
          <cell r="E73">
            <v>42152</v>
          </cell>
          <cell r="F73">
            <v>42153</v>
          </cell>
          <cell r="G73">
            <v>42154</v>
          </cell>
          <cell r="H73">
            <v>42155</v>
          </cell>
        </row>
        <row r="80">
          <cell r="B80">
            <v>42156</v>
          </cell>
          <cell r="C80">
            <v>42157</v>
          </cell>
          <cell r="D80">
            <v>42158</v>
          </cell>
          <cell r="E80">
            <v>42159</v>
          </cell>
          <cell r="F80">
            <v>42160</v>
          </cell>
          <cell r="G80">
            <v>42161</v>
          </cell>
          <cell r="H80">
            <v>42162</v>
          </cell>
        </row>
        <row r="81">
          <cell r="G81" t="str">
            <v>Capacitacion Coordinadores</v>
          </cell>
        </row>
        <row r="82">
          <cell r="B82">
            <v>42163</v>
          </cell>
          <cell r="C82">
            <v>42164</v>
          </cell>
          <cell r="D82">
            <v>42165</v>
          </cell>
          <cell r="E82">
            <v>42166</v>
          </cell>
          <cell r="F82">
            <v>42167</v>
          </cell>
          <cell r="G82">
            <v>42168</v>
          </cell>
          <cell r="H82">
            <v>42169</v>
          </cell>
        </row>
        <row r="84">
          <cell r="B84">
            <v>42170</v>
          </cell>
          <cell r="C84">
            <v>42171</v>
          </cell>
          <cell r="D84">
            <v>42172</v>
          </cell>
          <cell r="E84">
            <v>42173</v>
          </cell>
          <cell r="F84">
            <v>42174</v>
          </cell>
          <cell r="G84">
            <v>42175</v>
          </cell>
          <cell r="H84">
            <v>42176</v>
          </cell>
        </row>
        <row r="86">
          <cell r="B86">
            <v>42177</v>
          </cell>
          <cell r="C86">
            <v>42178</v>
          </cell>
          <cell r="D86">
            <v>42179</v>
          </cell>
          <cell r="E86">
            <v>42180</v>
          </cell>
          <cell r="F86">
            <v>42181</v>
          </cell>
          <cell r="G86">
            <v>42182</v>
          </cell>
          <cell r="H86">
            <v>42183</v>
          </cell>
        </row>
        <row r="88">
          <cell r="B88">
            <v>42184</v>
          </cell>
          <cell r="C88">
            <v>42185</v>
          </cell>
        </row>
        <row r="95">
          <cell r="D95">
            <v>42186</v>
          </cell>
          <cell r="E95">
            <v>42187</v>
          </cell>
          <cell r="F95">
            <v>42188</v>
          </cell>
          <cell r="G95">
            <v>42189</v>
          </cell>
          <cell r="H95">
            <v>42190</v>
          </cell>
        </row>
        <row r="96">
          <cell r="G96" t="str">
            <v>Capacitacion Coordinadores</v>
          </cell>
        </row>
        <row r="97">
          <cell r="B97">
            <v>42191</v>
          </cell>
          <cell r="C97">
            <v>42192</v>
          </cell>
          <cell r="D97">
            <v>42193</v>
          </cell>
          <cell r="E97">
            <v>42194</v>
          </cell>
          <cell r="F97">
            <v>42195</v>
          </cell>
          <cell r="G97">
            <v>42196</v>
          </cell>
          <cell r="H97">
            <v>42197</v>
          </cell>
        </row>
        <row r="99">
          <cell r="B99">
            <v>42198</v>
          </cell>
          <cell r="C99">
            <v>42199</v>
          </cell>
          <cell r="D99">
            <v>42200</v>
          </cell>
          <cell r="E99">
            <v>42201</v>
          </cell>
          <cell r="F99">
            <v>42202</v>
          </cell>
          <cell r="G99">
            <v>42203</v>
          </cell>
          <cell r="H99">
            <v>42204</v>
          </cell>
        </row>
        <row r="101">
          <cell r="B101">
            <v>42205</v>
          </cell>
          <cell r="C101">
            <v>42206</v>
          </cell>
          <cell r="D101">
            <v>42207</v>
          </cell>
          <cell r="E101">
            <v>42208</v>
          </cell>
          <cell r="F101">
            <v>42209</v>
          </cell>
          <cell r="G101">
            <v>42210</v>
          </cell>
          <cell r="H101">
            <v>42211</v>
          </cell>
        </row>
        <row r="102">
          <cell r="B102" t="str">
            <v xml:space="preserve">vacaciones </v>
          </cell>
          <cell r="C102" t="str">
            <v xml:space="preserve">vacaciones </v>
          </cell>
          <cell r="D102" t="str">
            <v xml:space="preserve">vacaciones </v>
          </cell>
          <cell r="E102" t="str">
            <v xml:space="preserve">vacaciones </v>
          </cell>
          <cell r="F102" t="str">
            <v xml:space="preserve">vacaciones </v>
          </cell>
        </row>
        <row r="103">
          <cell r="B103">
            <v>42212</v>
          </cell>
          <cell r="C103">
            <v>42213</v>
          </cell>
          <cell r="D103">
            <v>42214</v>
          </cell>
          <cell r="E103">
            <v>42215</v>
          </cell>
          <cell r="F103">
            <v>42216</v>
          </cell>
        </row>
        <row r="104">
          <cell r="B104" t="str">
            <v xml:space="preserve">vacaciones </v>
          </cell>
          <cell r="C104" t="str">
            <v xml:space="preserve">vacaciones </v>
          </cell>
          <cell r="D104" t="str">
            <v xml:space="preserve">vacaciones </v>
          </cell>
          <cell r="E104" t="str">
            <v>Permiso S/G</v>
          </cell>
          <cell r="F104" t="str">
            <v>Permiso S/G</v>
          </cell>
        </row>
        <row r="110">
          <cell r="G110">
            <v>42217</v>
          </cell>
          <cell r="H110">
            <v>42218</v>
          </cell>
        </row>
        <row r="111">
          <cell r="G111" t="str">
            <v>Capacitacion Coordinadores</v>
          </cell>
        </row>
        <row r="112">
          <cell r="B112">
            <v>42219</v>
          </cell>
          <cell r="C112">
            <v>42220</v>
          </cell>
          <cell r="D112">
            <v>42221</v>
          </cell>
          <cell r="E112">
            <v>42222</v>
          </cell>
          <cell r="F112">
            <v>42223</v>
          </cell>
          <cell r="G112">
            <v>42224</v>
          </cell>
          <cell r="H112">
            <v>42225</v>
          </cell>
        </row>
        <row r="114">
          <cell r="B114">
            <v>42226</v>
          </cell>
          <cell r="C114">
            <v>42227</v>
          </cell>
          <cell r="D114">
            <v>42228</v>
          </cell>
          <cell r="E114">
            <v>42229</v>
          </cell>
          <cell r="F114">
            <v>42230</v>
          </cell>
          <cell r="G114">
            <v>42231</v>
          </cell>
          <cell r="H114">
            <v>42232</v>
          </cell>
        </row>
        <row r="116">
          <cell r="B116">
            <v>42233</v>
          </cell>
          <cell r="C116">
            <v>42234</v>
          </cell>
          <cell r="D116">
            <v>42235</v>
          </cell>
          <cell r="E116">
            <v>42236</v>
          </cell>
          <cell r="F116">
            <v>42237</v>
          </cell>
          <cell r="G116">
            <v>42238</v>
          </cell>
          <cell r="H116">
            <v>42239</v>
          </cell>
        </row>
        <row r="118">
          <cell r="B118">
            <v>42240</v>
          </cell>
          <cell r="C118">
            <v>42241</v>
          </cell>
          <cell r="D118">
            <v>42242</v>
          </cell>
          <cell r="E118">
            <v>42243</v>
          </cell>
          <cell r="F118">
            <v>42244</v>
          </cell>
          <cell r="G118">
            <v>42245</v>
          </cell>
          <cell r="H118">
            <v>42246</v>
          </cell>
        </row>
        <row r="120">
          <cell r="B120">
            <v>42247</v>
          </cell>
        </row>
        <row r="125">
          <cell r="C125">
            <v>42248</v>
          </cell>
          <cell r="D125">
            <v>42249</v>
          </cell>
          <cell r="E125">
            <v>42250</v>
          </cell>
          <cell r="F125">
            <v>42251</v>
          </cell>
          <cell r="G125">
            <v>42252</v>
          </cell>
          <cell r="H125">
            <v>42253</v>
          </cell>
        </row>
        <row r="126">
          <cell r="G126" t="str">
            <v>Capacitacion Coordinadores</v>
          </cell>
        </row>
        <row r="127">
          <cell r="B127">
            <v>42254</v>
          </cell>
          <cell r="C127">
            <v>42255</v>
          </cell>
          <cell r="D127">
            <v>42256</v>
          </cell>
          <cell r="E127">
            <v>42257</v>
          </cell>
          <cell r="F127">
            <v>42258</v>
          </cell>
          <cell r="G127">
            <v>42259</v>
          </cell>
          <cell r="H127">
            <v>42260</v>
          </cell>
        </row>
        <row r="129">
          <cell r="B129">
            <v>42261</v>
          </cell>
          <cell r="C129">
            <v>42262</v>
          </cell>
          <cell r="D129">
            <v>42263</v>
          </cell>
          <cell r="E129">
            <v>42264</v>
          </cell>
          <cell r="F129">
            <v>42265</v>
          </cell>
          <cell r="G129">
            <v>42266</v>
          </cell>
          <cell r="H129">
            <v>42267</v>
          </cell>
        </row>
        <row r="130">
          <cell r="D130" t="str">
            <v>FESTIVO</v>
          </cell>
        </row>
        <row r="131">
          <cell r="B131">
            <v>42268</v>
          </cell>
          <cell r="C131">
            <v>42269</v>
          </cell>
          <cell r="D131">
            <v>42270</v>
          </cell>
          <cell r="E131">
            <v>42271</v>
          </cell>
          <cell r="F131">
            <v>42272</v>
          </cell>
          <cell r="G131">
            <v>42273</v>
          </cell>
          <cell r="H131">
            <v>42274</v>
          </cell>
        </row>
        <row r="133">
          <cell r="B133">
            <v>42275</v>
          </cell>
          <cell r="C133">
            <v>42276</v>
          </cell>
          <cell r="D133">
            <v>42277</v>
          </cell>
        </row>
        <row r="140">
          <cell r="E140">
            <v>42278</v>
          </cell>
          <cell r="F140">
            <v>42279</v>
          </cell>
          <cell r="G140">
            <v>42280</v>
          </cell>
          <cell r="H140">
            <v>42281</v>
          </cell>
        </row>
        <row r="141">
          <cell r="G141" t="str">
            <v>Capacitacion Coordinadores</v>
          </cell>
        </row>
        <row r="142">
          <cell r="B142">
            <v>42282</v>
          </cell>
          <cell r="C142">
            <v>42283</v>
          </cell>
          <cell r="D142">
            <v>42284</v>
          </cell>
          <cell r="E142">
            <v>42285</v>
          </cell>
          <cell r="F142">
            <v>42286</v>
          </cell>
          <cell r="G142">
            <v>42287</v>
          </cell>
          <cell r="H142">
            <v>42288</v>
          </cell>
        </row>
        <row r="144">
          <cell r="B144">
            <v>42289</v>
          </cell>
          <cell r="C144">
            <v>42290</v>
          </cell>
          <cell r="D144">
            <v>42291</v>
          </cell>
          <cell r="E144">
            <v>42292</v>
          </cell>
          <cell r="F144">
            <v>42293</v>
          </cell>
          <cell r="G144">
            <v>42294</v>
          </cell>
          <cell r="H144">
            <v>42295</v>
          </cell>
        </row>
        <row r="146">
          <cell r="B146">
            <v>42296</v>
          </cell>
          <cell r="C146">
            <v>42297</v>
          </cell>
          <cell r="D146">
            <v>42298</v>
          </cell>
          <cell r="E146">
            <v>42299</v>
          </cell>
          <cell r="F146">
            <v>42300</v>
          </cell>
          <cell r="G146">
            <v>42301</v>
          </cell>
          <cell r="H146">
            <v>42302</v>
          </cell>
        </row>
        <row r="148">
          <cell r="B148">
            <v>42303</v>
          </cell>
          <cell r="C148">
            <v>42304</v>
          </cell>
          <cell r="D148">
            <v>42305</v>
          </cell>
          <cell r="E148">
            <v>42306</v>
          </cell>
          <cell r="F148">
            <v>42307</v>
          </cell>
          <cell r="G148">
            <v>42308</v>
          </cell>
        </row>
        <row r="155">
          <cell r="H155">
            <v>42309</v>
          </cell>
        </row>
        <row r="157">
          <cell r="B157">
            <v>42310</v>
          </cell>
          <cell r="C157">
            <v>42311</v>
          </cell>
          <cell r="D157">
            <v>42312</v>
          </cell>
          <cell r="E157">
            <v>42313</v>
          </cell>
          <cell r="F157">
            <v>42314</v>
          </cell>
          <cell r="G157">
            <v>42315</v>
          </cell>
          <cell r="H157">
            <v>42316</v>
          </cell>
        </row>
        <row r="158">
          <cell r="G158" t="str">
            <v>Capacitacion Coordinadores</v>
          </cell>
        </row>
        <row r="159">
          <cell r="B159">
            <v>42317</v>
          </cell>
          <cell r="C159">
            <v>42318</v>
          </cell>
          <cell r="D159">
            <v>42319</v>
          </cell>
          <cell r="E159">
            <v>42320</v>
          </cell>
          <cell r="F159">
            <v>42321</v>
          </cell>
          <cell r="G159">
            <v>42322</v>
          </cell>
          <cell r="H159">
            <v>42323</v>
          </cell>
        </row>
        <row r="160">
          <cell r="B160" t="str">
            <v>Seguimiento a Cierre de Año y Programacion de Cierre de Plantas con Operaciones para Diciembre</v>
          </cell>
        </row>
        <row r="161">
          <cell r="B161">
            <v>42324</v>
          </cell>
          <cell r="C161">
            <v>42325</v>
          </cell>
          <cell r="D161">
            <v>42326</v>
          </cell>
          <cell r="E161">
            <v>42327</v>
          </cell>
          <cell r="F161">
            <v>42328</v>
          </cell>
          <cell r="G161">
            <v>42329</v>
          </cell>
          <cell r="H161">
            <v>42330</v>
          </cell>
        </row>
        <row r="162">
          <cell r="B162" t="str">
            <v>FESTIVO</v>
          </cell>
          <cell r="C162" t="str">
            <v>Firma Finiquito</v>
          </cell>
          <cell r="D162" t="str">
            <v>Aplicacion de Finiquitos</v>
          </cell>
        </row>
        <row r="163">
          <cell r="B163">
            <v>42331</v>
          </cell>
          <cell r="C163">
            <v>42332</v>
          </cell>
          <cell r="D163">
            <v>42333</v>
          </cell>
          <cell r="E163">
            <v>42334</v>
          </cell>
          <cell r="F163">
            <v>42335</v>
          </cell>
          <cell r="G163">
            <v>42336</v>
          </cell>
          <cell r="H163">
            <v>42337</v>
          </cell>
        </row>
        <row r="165">
          <cell r="B165">
            <v>42338</v>
          </cell>
        </row>
        <row r="170">
          <cell r="C170">
            <v>42339</v>
          </cell>
          <cell r="D170">
            <v>42340</v>
          </cell>
          <cell r="E170">
            <v>42341</v>
          </cell>
          <cell r="F170">
            <v>42342</v>
          </cell>
          <cell r="G170">
            <v>42343</v>
          </cell>
          <cell r="H170">
            <v>42344</v>
          </cell>
        </row>
        <row r="171">
          <cell r="G171" t="str">
            <v>Capacitacion Coordinadores</v>
          </cell>
        </row>
        <row r="172">
          <cell r="B172">
            <v>42345</v>
          </cell>
          <cell r="C172">
            <v>42346</v>
          </cell>
          <cell r="D172">
            <v>42347</v>
          </cell>
          <cell r="E172">
            <v>42348</v>
          </cell>
          <cell r="F172">
            <v>42349</v>
          </cell>
          <cell r="G172">
            <v>42350</v>
          </cell>
          <cell r="H172">
            <v>42351</v>
          </cell>
        </row>
        <row r="173">
          <cell r="C173" t="str">
            <v>Pendiente Revision Estatus Atencion Empleados</v>
          </cell>
          <cell r="G173" t="str">
            <v>No Bancos</v>
          </cell>
        </row>
        <row r="174">
          <cell r="B174">
            <v>42352</v>
          </cell>
          <cell r="C174">
            <v>42353</v>
          </cell>
          <cell r="D174">
            <v>42354</v>
          </cell>
          <cell r="E174">
            <v>42355</v>
          </cell>
          <cell r="F174">
            <v>42356</v>
          </cell>
          <cell r="G174">
            <v>42357</v>
          </cell>
          <cell r="H174">
            <v>42358</v>
          </cell>
        </row>
        <row r="175">
          <cell r="C175" t="str">
            <v>Pendiente Revision Estatus Atencion Empleados</v>
          </cell>
        </row>
        <row r="176">
          <cell r="B176">
            <v>42359</v>
          </cell>
          <cell r="C176">
            <v>42360</v>
          </cell>
          <cell r="D176">
            <v>42361</v>
          </cell>
          <cell r="E176">
            <v>42362</v>
          </cell>
          <cell r="F176">
            <v>42363</v>
          </cell>
          <cell r="G176">
            <v>42364</v>
          </cell>
          <cell r="H176">
            <v>42365</v>
          </cell>
        </row>
        <row r="177">
          <cell r="C177" t="str">
            <v>Pendiente Revision Estatus Atencion Empleados</v>
          </cell>
          <cell r="F177" t="str">
            <v>FESTIVO</v>
          </cell>
        </row>
        <row r="178">
          <cell r="B178">
            <v>42366</v>
          </cell>
          <cell r="C178">
            <v>42367</v>
          </cell>
          <cell r="D178">
            <v>42368</v>
          </cell>
          <cell r="E178">
            <v>42369</v>
          </cell>
        </row>
        <row r="179">
          <cell r="C179" t="str">
            <v>Pendiente Revision Estatus Atencion Empleados</v>
          </cell>
        </row>
      </sheetData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AD31-0204-1E45-86A8-A88077831E89}">
  <dimension ref="B1:R39"/>
  <sheetViews>
    <sheetView showGridLines="0" tabSelected="1" zoomScaleNormal="100" workbookViewId="0">
      <selection activeCell="B3" sqref="B3:G3"/>
    </sheetView>
  </sheetViews>
  <sheetFormatPr baseColWidth="10" defaultRowHeight="15"/>
  <cols>
    <col min="6" max="6" width="11.1640625" bestFit="1" customWidth="1"/>
    <col min="8" max="8" width="11.1640625" bestFit="1" customWidth="1"/>
    <col min="9" max="9" width="16.5" customWidth="1"/>
    <col min="10" max="13" width="13.83203125" customWidth="1"/>
    <col min="14" max="14" width="18.1640625" customWidth="1"/>
    <col min="15" max="17" width="13.83203125" customWidth="1"/>
  </cols>
  <sheetData>
    <row r="1" spans="2:18">
      <c r="B1" s="1"/>
      <c r="C1" s="1" t="s">
        <v>0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1"/>
      <c r="Q1" s="1"/>
      <c r="R1" s="1"/>
    </row>
    <row r="2" spans="2:18" ht="32">
      <c r="B2" s="1"/>
      <c r="C2" s="1"/>
      <c r="D2" s="1"/>
      <c r="E2" s="1"/>
      <c r="F2" s="1"/>
      <c r="G2" s="1"/>
      <c r="H2" s="1"/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9</v>
      </c>
      <c r="R2" s="1"/>
    </row>
    <row r="3" spans="2:18" ht="34">
      <c r="B3" s="43" t="s">
        <v>10</v>
      </c>
      <c r="C3" s="44"/>
      <c r="D3" s="44"/>
      <c r="E3" s="44"/>
      <c r="F3" s="44"/>
      <c r="G3" s="45"/>
      <c r="H3" s="1"/>
      <c r="I3" s="4" t="s">
        <v>10</v>
      </c>
      <c r="J3" s="5">
        <f>F20</f>
        <v>6499.9999999999991</v>
      </c>
      <c r="K3" s="5">
        <f>F10</f>
        <v>7682.7999999999993</v>
      </c>
      <c r="L3" s="5">
        <f>F27</f>
        <v>2011.44</v>
      </c>
      <c r="M3" s="5">
        <f>F29</f>
        <v>527.6653846153846</v>
      </c>
      <c r="N3" s="5">
        <v>500</v>
      </c>
      <c r="O3" s="5">
        <f>+K3+L3+M3+N3+F19</f>
        <v>10921.905384615384</v>
      </c>
      <c r="P3" s="6">
        <v>7.2499999999999995E-2</v>
      </c>
      <c r="Q3" s="5">
        <f>O3+(O3*P3)</f>
        <v>11713.743525</v>
      </c>
      <c r="R3" s="1"/>
    </row>
    <row r="4" spans="2:18">
      <c r="B4" s="46"/>
      <c r="C4" s="47"/>
      <c r="D4" s="47"/>
      <c r="E4" s="47"/>
      <c r="F4" s="47"/>
      <c r="G4" s="48"/>
      <c r="H4" s="1"/>
      <c r="I4" s="1"/>
      <c r="J4" s="2"/>
      <c r="K4" s="2"/>
      <c r="L4" s="2"/>
      <c r="M4" s="2"/>
      <c r="N4" s="2"/>
      <c r="O4" s="2"/>
      <c r="P4" s="1"/>
      <c r="Q4" s="1"/>
      <c r="R4" s="1"/>
    </row>
    <row r="5" spans="2:18">
      <c r="B5" s="7"/>
      <c r="C5" s="8" t="s">
        <v>11</v>
      </c>
      <c r="D5" s="8"/>
      <c r="E5" s="9"/>
      <c r="F5" s="10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>
      <c r="B6" s="7"/>
      <c r="C6" s="8"/>
      <c r="D6" s="12" t="s">
        <v>12</v>
      </c>
      <c r="E6" s="13"/>
      <c r="F6" s="14">
        <v>5487.72</v>
      </c>
      <c r="G6" s="11"/>
      <c r="H6" s="1"/>
      <c r="I6" s="1"/>
      <c r="J6" s="2"/>
      <c r="K6" s="2"/>
      <c r="L6" s="2"/>
      <c r="M6" s="2"/>
      <c r="N6" s="2"/>
      <c r="O6" s="2"/>
      <c r="P6" s="1"/>
      <c r="Q6" s="1"/>
      <c r="R6" s="1"/>
    </row>
    <row r="7" spans="2:18">
      <c r="B7" s="7"/>
      <c r="C7" s="8"/>
      <c r="D7" s="12" t="s">
        <v>13</v>
      </c>
      <c r="E7" s="13"/>
      <c r="F7" s="14">
        <v>914.62</v>
      </c>
      <c r="G7" s="11"/>
      <c r="H7" s="1"/>
      <c r="I7" s="1"/>
      <c r="J7" s="2"/>
      <c r="K7" s="2"/>
      <c r="L7" s="2"/>
      <c r="M7" s="2"/>
      <c r="N7" s="2"/>
      <c r="O7" s="2"/>
      <c r="P7" s="1"/>
      <c r="Q7" s="1"/>
      <c r="R7" s="1"/>
    </row>
    <row r="8" spans="2:18">
      <c r="B8" s="7"/>
      <c r="C8" s="8"/>
      <c r="D8" s="12" t="s">
        <v>14</v>
      </c>
      <c r="E8" s="13"/>
      <c r="F8" s="14">
        <v>640.23</v>
      </c>
      <c r="G8" s="11"/>
      <c r="H8" s="1"/>
      <c r="I8" s="1"/>
      <c r="J8" s="2"/>
      <c r="K8" s="2"/>
      <c r="L8" s="2"/>
      <c r="M8" s="2"/>
      <c r="N8" s="2"/>
      <c r="O8" s="2"/>
      <c r="P8" s="1"/>
      <c r="Q8" s="1"/>
      <c r="R8" s="1"/>
    </row>
    <row r="9" spans="2:18">
      <c r="B9" s="7"/>
      <c r="C9" s="8"/>
      <c r="D9" s="12" t="s">
        <v>15</v>
      </c>
      <c r="E9" s="13"/>
      <c r="F9" s="15">
        <v>640.23</v>
      </c>
      <c r="G9" s="11"/>
      <c r="H9" s="1"/>
      <c r="I9" s="1"/>
      <c r="J9" s="2"/>
      <c r="K9" s="2"/>
      <c r="L9" s="2"/>
      <c r="M9" s="2"/>
      <c r="N9" s="2"/>
      <c r="O9" s="2"/>
      <c r="P9" s="1"/>
      <c r="Q9" s="1"/>
      <c r="R9" s="1"/>
    </row>
    <row r="10" spans="2:18">
      <c r="B10" s="7"/>
      <c r="C10" s="8"/>
      <c r="D10" s="8" t="s">
        <v>16</v>
      </c>
      <c r="E10" s="16"/>
      <c r="F10" s="17">
        <f>SUM(F6:F9)</f>
        <v>7682.7999999999993</v>
      </c>
      <c r="G10" s="11"/>
      <c r="H10" s="1"/>
      <c r="I10" s="1"/>
      <c r="J10" s="2"/>
      <c r="K10" s="2"/>
      <c r="L10" s="2"/>
      <c r="M10" s="2"/>
      <c r="N10" s="2"/>
      <c r="O10" s="2"/>
      <c r="P10" s="1"/>
      <c r="Q10" s="1"/>
      <c r="R10" s="1"/>
    </row>
    <row r="11" spans="2:18">
      <c r="B11" s="7"/>
      <c r="C11" s="8"/>
      <c r="D11" s="13"/>
      <c r="E11" s="18"/>
      <c r="F11" s="19"/>
      <c r="G11" s="11"/>
      <c r="H11" s="1"/>
      <c r="I11" s="1"/>
      <c r="J11" s="2"/>
      <c r="K11" s="2"/>
      <c r="L11" s="2"/>
      <c r="M11" s="2"/>
      <c r="N11" s="2"/>
      <c r="O11" s="2"/>
      <c r="P11" s="1"/>
      <c r="Q11" s="1"/>
      <c r="R11" s="1"/>
    </row>
    <row r="12" spans="2:18">
      <c r="B12" s="7"/>
      <c r="C12" s="20" t="s">
        <v>17</v>
      </c>
      <c r="D12" s="13"/>
      <c r="E12" s="13"/>
      <c r="F12" s="13"/>
      <c r="G12" s="11"/>
      <c r="H12" s="1"/>
      <c r="I12" s="1"/>
      <c r="J12" s="2"/>
      <c r="K12" s="2"/>
      <c r="L12" s="2"/>
      <c r="M12" s="2"/>
      <c r="N12" s="2"/>
      <c r="O12" s="2"/>
      <c r="P12" s="1"/>
      <c r="Q12" s="1"/>
      <c r="R12" s="1"/>
    </row>
    <row r="13" spans="2:18">
      <c r="B13" s="7"/>
      <c r="C13" s="8"/>
      <c r="D13" s="13" t="s">
        <v>18</v>
      </c>
      <c r="E13" s="13"/>
      <c r="F13" s="21">
        <v>176.57</v>
      </c>
      <c r="G13" s="11"/>
      <c r="H13" s="1"/>
      <c r="I13" s="1"/>
      <c r="J13" s="2"/>
      <c r="K13" s="2"/>
      <c r="L13" s="2"/>
      <c r="M13" s="2"/>
      <c r="N13" s="2"/>
      <c r="O13" s="2"/>
      <c r="P13" s="1"/>
      <c r="Q13" s="1"/>
      <c r="R13" s="1"/>
    </row>
    <row r="14" spans="2:18">
      <c r="B14" s="7"/>
      <c r="C14" s="8"/>
      <c r="D14" s="12" t="s">
        <v>19</v>
      </c>
      <c r="E14" s="22"/>
      <c r="F14" s="21">
        <v>1206.23</v>
      </c>
      <c r="G14" s="11"/>
      <c r="H14" s="1"/>
      <c r="I14" s="1"/>
      <c r="J14" s="2"/>
      <c r="K14" s="2"/>
      <c r="L14" s="2"/>
      <c r="M14" s="2"/>
      <c r="N14" s="2"/>
      <c r="O14" s="2"/>
      <c r="P14" s="1"/>
      <c r="Q14" s="1"/>
      <c r="R14" s="1"/>
    </row>
    <row r="15" spans="2:18">
      <c r="B15" s="7"/>
      <c r="C15" s="8"/>
      <c r="D15" s="13" t="s">
        <v>20</v>
      </c>
      <c r="E15" s="22"/>
      <c r="F15" s="23">
        <v>0</v>
      </c>
      <c r="G15" s="11"/>
      <c r="H15" s="1"/>
      <c r="I15" s="1"/>
      <c r="J15" s="2"/>
      <c r="K15" s="2"/>
      <c r="L15" s="2"/>
      <c r="M15" s="2"/>
      <c r="N15" s="2"/>
      <c r="O15" s="2"/>
      <c r="P15" s="1"/>
      <c r="Q15" s="1"/>
      <c r="R15" s="1"/>
    </row>
    <row r="16" spans="2:18">
      <c r="B16" s="7"/>
      <c r="C16" s="8"/>
      <c r="D16" s="13"/>
      <c r="E16" s="22"/>
      <c r="F16" s="24">
        <f>SUM(F13:F15)</f>
        <v>1382.8</v>
      </c>
      <c r="G16" s="11"/>
      <c r="H16" s="1"/>
      <c r="I16" s="1"/>
      <c r="J16" s="2"/>
      <c r="K16" s="2"/>
      <c r="L16" s="2"/>
      <c r="M16" s="2"/>
      <c r="N16" s="2"/>
      <c r="O16" s="2"/>
      <c r="P16" s="1"/>
      <c r="Q16" s="1"/>
      <c r="R16" s="1"/>
    </row>
    <row r="17" spans="2:18">
      <c r="B17" s="7"/>
      <c r="C17" s="8"/>
      <c r="D17" s="13"/>
      <c r="E17" s="22"/>
      <c r="F17" s="24"/>
      <c r="G17" s="11"/>
      <c r="H17" s="1"/>
      <c r="I17" s="1"/>
      <c r="J17" s="2"/>
      <c r="K17" s="2"/>
      <c r="L17" s="2"/>
      <c r="M17" s="2"/>
      <c r="N17" s="2"/>
      <c r="O17" s="2"/>
      <c r="P17" s="1"/>
      <c r="Q17" s="1"/>
      <c r="R17" s="1"/>
    </row>
    <row r="18" spans="2:18">
      <c r="B18" s="7"/>
      <c r="C18" s="13"/>
      <c r="D18" s="8" t="s">
        <v>21</v>
      </c>
      <c r="E18" s="16"/>
      <c r="F18" s="25">
        <f>+F10-F16</f>
        <v>6299.9999999999991</v>
      </c>
      <c r="G18" s="11"/>
      <c r="H18" s="1"/>
      <c r="I18" s="1"/>
      <c r="J18" s="2"/>
      <c r="K18" s="2"/>
      <c r="L18" s="2"/>
      <c r="M18" s="2"/>
      <c r="N18" s="2"/>
      <c r="O18" s="2"/>
      <c r="P18" s="1"/>
      <c r="Q18" s="1"/>
      <c r="R18" s="1"/>
    </row>
    <row r="19" spans="2:18">
      <c r="B19" s="7"/>
      <c r="C19" s="13"/>
      <c r="D19" s="8" t="s">
        <v>22</v>
      </c>
      <c r="E19" s="16"/>
      <c r="F19" s="26">
        <v>200</v>
      </c>
      <c r="G19" s="11"/>
      <c r="H19" s="1"/>
      <c r="I19" s="1"/>
      <c r="J19" s="2"/>
      <c r="K19" s="2"/>
      <c r="L19" s="2"/>
      <c r="M19" s="2"/>
      <c r="N19" s="2"/>
      <c r="O19" s="2"/>
      <c r="P19" s="1"/>
      <c r="Q19" s="1"/>
      <c r="R19" s="1"/>
    </row>
    <row r="20" spans="2:18">
      <c r="B20" s="7"/>
      <c r="C20" s="13"/>
      <c r="D20" s="27" t="s">
        <v>21</v>
      </c>
      <c r="E20" s="28"/>
      <c r="F20" s="29">
        <f>+F18+F19</f>
        <v>6499.9999999999991</v>
      </c>
      <c r="G20" s="11"/>
      <c r="H20" s="1"/>
      <c r="I20" s="1"/>
      <c r="J20" s="2"/>
      <c r="K20" s="2"/>
      <c r="L20" s="2"/>
      <c r="M20" s="2"/>
      <c r="N20" s="2"/>
      <c r="O20" s="2"/>
      <c r="P20" s="1"/>
      <c r="Q20" s="1"/>
      <c r="R20" s="1"/>
    </row>
    <row r="21" spans="2:18">
      <c r="B21" s="7"/>
      <c r="C21" s="8"/>
      <c r="D21" s="13"/>
      <c r="E21" s="13"/>
      <c r="F21" s="30"/>
      <c r="G21" s="11"/>
      <c r="H21" s="1"/>
      <c r="I21" s="1"/>
      <c r="J21" s="2"/>
      <c r="K21" s="2"/>
      <c r="L21" s="2"/>
      <c r="M21" s="2"/>
      <c r="N21" s="2"/>
      <c r="O21" s="2"/>
      <c r="P21" s="1"/>
      <c r="Q21" s="1"/>
      <c r="R21" s="1"/>
    </row>
    <row r="22" spans="2:18">
      <c r="B22" s="7"/>
      <c r="C22" s="31" t="s">
        <v>23</v>
      </c>
      <c r="D22" s="13"/>
      <c r="E22" s="13"/>
      <c r="F22" s="32"/>
      <c r="G22" s="11"/>
      <c r="H22" s="1"/>
      <c r="I22" s="1"/>
      <c r="J22" s="2"/>
      <c r="K22" s="2"/>
      <c r="L22" s="2"/>
      <c r="M22" s="2"/>
      <c r="N22" s="2"/>
      <c r="O22" s="2"/>
      <c r="P22" s="1"/>
      <c r="Q22" s="1"/>
      <c r="R22" s="1"/>
    </row>
    <row r="23" spans="2:18">
      <c r="B23" s="7"/>
      <c r="C23" s="8"/>
      <c r="D23" s="13" t="s">
        <v>24</v>
      </c>
      <c r="E23" s="13"/>
      <c r="F23" s="14">
        <v>684.58</v>
      </c>
      <c r="G23" s="11"/>
      <c r="H23" s="1"/>
      <c r="I23" s="1"/>
      <c r="J23" s="2"/>
      <c r="K23" s="2"/>
      <c r="L23" s="2"/>
      <c r="M23" s="2"/>
      <c r="N23" s="2"/>
      <c r="O23" s="2"/>
      <c r="P23" s="1"/>
      <c r="Q23" s="1"/>
      <c r="R23" s="1"/>
    </row>
    <row r="24" spans="2:18">
      <c r="B24" s="7"/>
      <c r="C24" s="8"/>
      <c r="D24" s="13" t="s">
        <v>25</v>
      </c>
      <c r="E24" s="13"/>
      <c r="F24" s="14">
        <v>335.9</v>
      </c>
      <c r="G24" s="11"/>
      <c r="H24" s="1"/>
      <c r="I24" s="1"/>
      <c r="J24" s="2"/>
      <c r="K24" s="2"/>
      <c r="L24" s="2"/>
      <c r="M24" s="2"/>
      <c r="N24" s="2"/>
      <c r="O24" s="2"/>
      <c r="P24" s="1"/>
      <c r="Q24" s="1"/>
      <c r="R24" s="1"/>
    </row>
    <row r="25" spans="2:18">
      <c r="B25" s="7"/>
      <c r="C25" s="8"/>
      <c r="D25" s="13" t="s">
        <v>26</v>
      </c>
      <c r="E25" s="13"/>
      <c r="F25" s="33">
        <v>639.09</v>
      </c>
      <c r="G25" s="11"/>
      <c r="H25" s="34"/>
      <c r="I25" s="1"/>
      <c r="J25" s="2"/>
      <c r="K25" s="2"/>
      <c r="L25" s="2"/>
      <c r="M25" s="2"/>
      <c r="N25" s="2"/>
      <c r="O25" s="2"/>
      <c r="P25" s="1"/>
      <c r="Q25" s="1"/>
      <c r="R25" s="1"/>
    </row>
    <row r="26" spans="2:18">
      <c r="B26" s="7"/>
      <c r="C26" s="8"/>
      <c r="D26" s="13" t="s">
        <v>27</v>
      </c>
      <c r="E26" s="13"/>
      <c r="F26" s="15">
        <v>351.87</v>
      </c>
      <c r="G26" s="11"/>
      <c r="H26" s="1"/>
      <c r="I26" s="1"/>
      <c r="J26" s="2"/>
      <c r="K26" s="2"/>
      <c r="L26" s="2"/>
      <c r="M26" s="2"/>
      <c r="N26" s="2"/>
      <c r="O26" s="2"/>
      <c r="P26" s="1"/>
      <c r="Q26" s="1"/>
      <c r="R26" s="1"/>
    </row>
    <row r="27" spans="2:18">
      <c r="B27" s="7"/>
      <c r="C27" s="8"/>
      <c r="D27" s="8" t="s">
        <v>28</v>
      </c>
      <c r="E27" s="16"/>
      <c r="F27" s="9">
        <f>SUM(F23:F26)</f>
        <v>2011.44</v>
      </c>
      <c r="G27" s="11"/>
      <c r="H27" s="1"/>
      <c r="I27" s="1"/>
      <c r="J27" s="2"/>
      <c r="K27" s="2"/>
      <c r="L27" s="2"/>
      <c r="M27" s="2"/>
      <c r="N27" s="2"/>
      <c r="O27" s="2"/>
      <c r="P27" s="1"/>
      <c r="Q27" s="1"/>
      <c r="R27" s="1"/>
    </row>
    <row r="28" spans="2:18">
      <c r="B28" s="7"/>
      <c r="C28" s="8"/>
      <c r="D28" s="13"/>
      <c r="E28" s="18"/>
      <c r="F28" s="19"/>
      <c r="G28" s="11"/>
      <c r="H28" s="1"/>
      <c r="I28" s="1"/>
      <c r="J28" s="2"/>
      <c r="K28" s="2"/>
      <c r="L28" s="2"/>
      <c r="M28" s="2"/>
      <c r="N28" s="2"/>
      <c r="O28" s="2"/>
      <c r="P28" s="1"/>
      <c r="Q28" s="1"/>
      <c r="R28" s="1"/>
    </row>
    <row r="29" spans="2:18">
      <c r="B29" s="7"/>
      <c r="C29" s="8"/>
      <c r="D29" s="13" t="s">
        <v>29</v>
      </c>
      <c r="E29" s="22"/>
      <c r="F29" s="35">
        <f>+(((12*F7)*0.25)+(12*F7)+(15*F7))/52</f>
        <v>527.6653846153846</v>
      </c>
      <c r="G29" s="11"/>
      <c r="H29" s="1"/>
      <c r="I29" s="1"/>
      <c r="J29" s="2"/>
      <c r="K29" s="2"/>
      <c r="L29" s="2"/>
      <c r="M29" s="2"/>
      <c r="N29" s="2"/>
      <c r="O29" s="2"/>
      <c r="P29" s="1"/>
      <c r="Q29" s="1"/>
      <c r="R29" s="1"/>
    </row>
    <row r="30" spans="2:18">
      <c r="B30" s="7"/>
      <c r="C30" s="8"/>
      <c r="D30" s="49" t="s">
        <v>30</v>
      </c>
      <c r="E30" s="49"/>
      <c r="F30" s="35">
        <v>500</v>
      </c>
      <c r="G30" s="11"/>
      <c r="H30" s="34"/>
      <c r="I30" s="1"/>
      <c r="J30" s="2"/>
      <c r="K30" s="2"/>
      <c r="L30" s="2"/>
      <c r="M30" s="2"/>
      <c r="N30" s="2"/>
      <c r="O30" s="2"/>
      <c r="P30" s="1"/>
      <c r="Q30" s="1"/>
      <c r="R30" s="1"/>
    </row>
    <row r="31" spans="2:18">
      <c r="B31" s="7"/>
      <c r="C31" s="8" t="s">
        <v>31</v>
      </c>
      <c r="D31" s="13"/>
      <c r="E31" s="18"/>
      <c r="F31" s="13"/>
      <c r="G31" s="11"/>
      <c r="H31" s="34"/>
      <c r="I31" s="1"/>
      <c r="J31" s="2"/>
      <c r="K31" s="2"/>
      <c r="L31" s="2"/>
      <c r="M31" s="2"/>
      <c r="N31" s="2"/>
      <c r="O31" s="2"/>
      <c r="P31" s="1"/>
      <c r="Q31" s="1"/>
      <c r="R31" s="1"/>
    </row>
    <row r="32" spans="2:18">
      <c r="B32" s="7"/>
      <c r="C32" s="8"/>
      <c r="D32" s="13" t="s">
        <v>32</v>
      </c>
      <c r="E32" s="13"/>
      <c r="F32" s="35">
        <f>F10+F27+F29+F19+F30</f>
        <v>10921.905384615384</v>
      </c>
      <c r="G32" s="11"/>
      <c r="H32" s="1"/>
      <c r="I32" s="1"/>
      <c r="J32" s="2"/>
      <c r="K32" s="2"/>
      <c r="L32" s="2"/>
      <c r="M32" s="2"/>
      <c r="N32" s="2"/>
      <c r="O32" s="2"/>
      <c r="P32" s="1"/>
      <c r="Q32" s="1"/>
      <c r="R32" s="1"/>
    </row>
    <row r="33" spans="2:18">
      <c r="B33" s="7"/>
      <c r="C33" s="8"/>
      <c r="D33" s="13" t="s">
        <v>33</v>
      </c>
      <c r="E33" s="36">
        <v>7.2499999999999995E-2</v>
      </c>
      <c r="F33" s="35">
        <f>+F32*E33</f>
        <v>791.83814038461526</v>
      </c>
      <c r="G33" s="11"/>
      <c r="H33" s="1"/>
      <c r="I33" s="1"/>
      <c r="J33" s="2"/>
      <c r="K33" s="2"/>
      <c r="L33" s="2"/>
      <c r="M33" s="2"/>
      <c r="N33" s="2"/>
      <c r="O33" s="2"/>
      <c r="P33" s="1"/>
      <c r="Q33" s="1"/>
      <c r="R33" s="1"/>
    </row>
    <row r="34" spans="2:18">
      <c r="B34" s="7"/>
      <c r="C34" s="8"/>
      <c r="D34" s="13" t="s">
        <v>34</v>
      </c>
      <c r="E34" s="13"/>
      <c r="F34" s="37">
        <f>+F32+F33</f>
        <v>11713.743525</v>
      </c>
      <c r="G34" s="11"/>
      <c r="H34" s="1"/>
      <c r="I34" s="1"/>
      <c r="J34" s="2"/>
      <c r="K34" s="2"/>
      <c r="L34" s="2"/>
      <c r="M34" s="2"/>
      <c r="N34" s="2"/>
      <c r="O34" s="2"/>
      <c r="P34" s="1"/>
      <c r="Q34" s="1"/>
      <c r="R34" s="1"/>
    </row>
    <row r="35" spans="2:18">
      <c r="B35" s="38"/>
      <c r="C35" s="39"/>
      <c r="D35" s="40"/>
      <c r="E35" s="40"/>
      <c r="F35" s="40"/>
      <c r="G35" s="41" t="s">
        <v>35</v>
      </c>
      <c r="H35" s="1"/>
      <c r="I35" s="1"/>
      <c r="J35" s="2"/>
      <c r="K35" s="2"/>
      <c r="L35" s="2"/>
      <c r="M35" s="2"/>
      <c r="N35" s="2"/>
      <c r="O35" s="2"/>
      <c r="P35" s="1"/>
      <c r="Q35" s="1"/>
      <c r="R35" s="1"/>
    </row>
    <row r="36" spans="2:18"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1"/>
      <c r="Q36" s="1"/>
      <c r="R36" s="1"/>
    </row>
    <row r="37" spans="2:18">
      <c r="B37" s="1"/>
      <c r="C37" s="1"/>
      <c r="D37" s="13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1"/>
      <c r="Q37" s="1"/>
      <c r="R37" s="1"/>
    </row>
    <row r="38" spans="2:18">
      <c r="B38" s="1"/>
      <c r="C38" s="1"/>
      <c r="D38" s="1"/>
      <c r="E38" s="1"/>
      <c r="F38" s="34"/>
      <c r="G38" s="1"/>
      <c r="H38" s="1"/>
      <c r="I38" s="1"/>
      <c r="J38" s="2"/>
      <c r="K38" s="2"/>
      <c r="L38" s="2"/>
      <c r="M38" s="2"/>
      <c r="N38" s="2"/>
      <c r="O38" s="2"/>
      <c r="P38" s="1"/>
      <c r="Q38" s="1"/>
      <c r="R38" s="1"/>
    </row>
    <row r="39" spans="2:18">
      <c r="B39" s="1"/>
      <c r="C39" s="1"/>
      <c r="D39" s="1"/>
      <c r="E39" s="1"/>
      <c r="F39" s="42"/>
      <c r="G39" s="1"/>
      <c r="H39" s="1"/>
      <c r="I39" s="1"/>
      <c r="J39" s="2"/>
      <c r="K39" s="2"/>
      <c r="L39" s="2"/>
      <c r="M39" s="2"/>
      <c r="N39" s="2"/>
      <c r="O39" s="2"/>
      <c r="P39" s="1"/>
      <c r="Q39" s="1"/>
      <c r="R39" s="1"/>
    </row>
  </sheetData>
  <mergeCells count="3">
    <mergeCell ref="B3:G3"/>
    <mergeCell ref="B4:G4"/>
    <mergeCell ref="D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 Hilos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Qinfix MX</dc:creator>
  <cp:lastModifiedBy>Qinfix MX</cp:lastModifiedBy>
  <dcterms:created xsi:type="dcterms:W3CDTF">2026-07-28T19:30:58Z</dcterms:created>
  <dcterms:modified xsi:type="dcterms:W3CDTF">2026-07-28T20:10:49Z</dcterms:modified>
</cp:coreProperties>
</file>